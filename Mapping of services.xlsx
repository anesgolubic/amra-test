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6094ED9C-6FBD-4F4D-A218-766FB9FD0FDD}" xr6:coauthVersionLast="47" xr6:coauthVersionMax="47" xr10:uidLastSave="{00000000-0000-0000-0000-000000000000}"/>
  <bookViews>
    <workbookView xWindow="-108" yWindow="-108" windowWidth="23256" windowHeight="12576" firstSheet="11" activeTab="13"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Administrativni postupci" sheetId="1" r:id="rId12"/>
    <sheet name="Diskrecione usluge" sheetId="5" r:id="rId13"/>
    <sheet name="Neinstitucionalizirana prava" sheetId="13" r:id="rId14"/>
    <sheet name="RASPORED ZA INFOGRAFIKU" sheetId="19" r:id="rId15"/>
    <sheet name="INFOGRAF" sheetId="23" r:id="rId16"/>
    <sheet name="All" sheetId="15" r:id="rId17"/>
    <sheet name="Sheet2" sheetId="2" state="hidden" r:id="rId18"/>
  </sheets>
  <definedNames>
    <definedName name="_xlnm._FilterDatabase" localSheetId="11" hidden="1">'Administrativni postupci'!$A$1:$Q$31</definedName>
    <definedName name="_xlnm._FilterDatabase" localSheetId="16" hidden="1">All!$A$1:$P$64</definedName>
    <definedName name="_xlnm._FilterDatabase" localSheetId="2" hidden="1">'All (2)'!$A$1:$P$175</definedName>
    <definedName name="_xlnm._FilterDatabase" localSheetId="12" hidden="1">'Diskrecione usluge'!$O$1:$O$29</definedName>
    <definedName name="_xlnm._FilterDatabase" localSheetId="15" hidden="1">INFOGRAF!$D$1:$F$62</definedName>
    <definedName name="_xlnm._FilterDatabase" localSheetId="14"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37"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7" l="1"/>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H14"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<sst xmlns="http://schemas.openxmlformats.org/spreadsheetml/2006/main" count="4170" uniqueCount="513">
  <si>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</si>
  <si>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</si>
  <si>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</si>
  <si>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</si>
  <si>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</si>
  <si>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</si>
  <si>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</si>
  <si>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</si>
  <si>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</si>
  <si>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</si>
  <si>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</si>
  <si>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</si>
  <si>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</si>
  <si>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</si>
  <si>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</si>
  <si>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</si>
  <si>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</si>
  <si>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</si>
  <si>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</si>
  <si>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</si>
  <si>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</si>
  <si>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</si>
  <si>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</si>
  <si>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</si>
  <si>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</si>
  <si>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</si>
  <si>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</si>
  <si>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</si>
  <si>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</si>
  <si>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</si>
  <si>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</si>
  <si>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</si>
  <si>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</si>
  <si>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</si>
  <si>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</si>
  <si>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</si>
  <si>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</si>
  <si>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</si>
  <si>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</si>
  <si>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</si>
  <si>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</si>
  <si>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</si>
  <si>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</si>
  <si>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</si>
  <si>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</si>
  <si>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</si>
  <si>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</si>
  <si>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</si>
  <si>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</si>
  <si>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</si>
  <si>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</si>
  <si>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</si>
  <si>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</si>
  <si>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</si>
  <si>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</si>
  <si>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</si>
  <si>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</si>
  <si>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</si>
  <si>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</si>
  <si>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</si>
  <si>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</si>
  <si>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</si>
  <si>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</si>
  <si>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</si>
  <si>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</si>
  <si>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</si>
  <si>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</si>
  <si>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</si>
  <si>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</si>
  <si>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</si>
  <si>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</si>
  <si>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</si>
  <si>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</si>
  <si>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</si>
  <si>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</si>
  <si>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</si>
  <si>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</si>
  <si>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</si>
  <si>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</si>
  <si>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</si>
  <si>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</si>
  <si>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</si>
  <si>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</si>
  <si>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</si>
  <si>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</si>
  <si>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</si>
  <si>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</si>
  <si>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</si>
  <si>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</si>
  <si>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</si>
  <si>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</si>
  <si>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</si>
  <si>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</si>
  <si>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</si>
  <si>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</si>
  <si>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</si>
  <si>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</si>
  <si>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</si>
  <si>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</si>
  <si>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</si>
  <si>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</si>
  <si>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</si>
  <si>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</si>
  <si>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</si>
  <si>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</si>
  <si>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</si>
  <si>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</si>
  <si>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</si>
  <si>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</si>
  <si>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</si>
  <si>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</si>
  <si>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</si>
  <si>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</si>
  <si>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</si>
  <si>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</si>
  <si>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</si>
  <si>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</si>
  <si>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</si>
  <si>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</si>
  <si>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</si>
  <si>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</si>
  <si>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</si>
  <si>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</si>
  <si>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</si>
  <si>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</si>
  <si>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</si>
  <si>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</si>
  <si>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</si>
  <si>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</si>
  <si>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</si>
  <si>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</si>
  <si>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</si>
  <si>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</si>
  <si>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</si>
  <si>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</si>
  <si>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</si>
  <si>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</si>
  <si>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</si>
  <si>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</si>
  <si>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</si>
  <si>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</si>
  <si>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</si>
  <si>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</si>
  <si>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</si>
  <si>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</si>
  <si>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</si>
  <si>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</si>
  <si>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</si>
  <si>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</si>
  <si>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</si>
  <si>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</si>
  <si>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</si>
  <si>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</si>
  <si>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</si>
  <si>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</si>
  <si>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</si>
  <si>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</si>
  <si>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</si>
  <si>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</si>
  <si>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</si>
  <si>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</si>
  <si>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</si>
  <si>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</si>
  <si>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</si>
  <si>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</si>
  <si>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</si>
  <si>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</si>
  <si>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</si>
  <si>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</si>
  <si>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</si>
  <si>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</si>
  <si>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</si>
  <si>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</si>
  <si>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</si>
  <si>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</si>
  <si>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</si>
  <si>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</si>
  <si>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</si>
  <si>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</si>
  <si>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</si>
  <si>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</si>
  <si>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</si>
  <si>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</si>
  <si>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</si>
  <si>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</si>
  <si>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</si>
  <si>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</si>
  <si>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</si>
  <si>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</si>
  <si>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</si>
  <si>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</si>
  <si>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</si>
  <si>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</si>
  <si>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</si>
  <si>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</si>
  <si>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</si>
  <si>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</si>
  <si>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</si>
  <si>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</si>
  <si>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</si>
  <si>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</si>
  <si>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</si>
  <si>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</si>
  <si>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</si>
  <si>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</si>
  <si>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</si>
  <si>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</si>
  <si>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</si>
  <si>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</si>
  <si>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</si>
  <si>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</si>
  <si>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</si>
  <si>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</si>
  <si>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</si>
  <si>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</si>
  <si>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</si>
  <si>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</si>
  <si>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</si>
  <si>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</si>
  <si>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</si>
  <si>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</si>
  <si>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</si>
  <si>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</si>
  <si>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</si>
  <si>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</si>
  <si>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</si>
  <si>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</si>
  <si>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</si>
  <si>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</si>
  <si>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</si>
  <si>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</si>
  <si>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</si>
  <si>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</si>
  <si>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</si>
  <si>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</si>
  <si>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</si>
  <si>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</si>
  <si>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</si>
  <si>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</si>
  <si>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</si>
  <si>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</si>
  <si>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</si>
  <si>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</si>
  <si>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</si>
  <si>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</si>
  <si>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</si>
  <si>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</si>
  <si>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</si>
  <si>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</si>
  <si>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</si>
  <si>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</si>
  <si>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</si>
  <si>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</si>
  <si>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</si>
  <si>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</si>
  <si>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</si>
  <si>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</si>
  <si>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</si>
  <si>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</si>
  <si>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</si>
  <si>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</si>
  <si>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</si>
  <si>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</si>
  <si>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</si>
  <si>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</si>
  <si>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</si>
  <si>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</si>
  <si>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</si>
  <si>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</si>
  <si>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</si>
  <si>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</si>
  <si>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</si>
  <si>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</si>
  <si>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</si>
  <si>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</si>
  <si>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</si>
  <si>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</si>
  <si>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</si>
  <si>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</si>
  <si>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</si>
  <si>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</si>
  <si>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</si>
  <si>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</si>
  <si>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</si>
  <si>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</si>
  <si>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</si>
  <si>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</si>
  <si>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</si>
  <si>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</si>
  <si>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</si>
  <si>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</si>
  <si>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</si>
  <si>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</si>
  <si>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</si>
  <si>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</si>
  <si>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</si>
  <si>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</si>
  <si>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</si>
  <si>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</si>
  <si>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</si>
  <si>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</si>
  <si>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</si>
  <si>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</si>
  <si>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</si>
  <si>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</si>
  <si>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</si>
  <si>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</si>
  <si>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</si>
  <si>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</si>
  <si>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</si>
  <si>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</si>
  <si>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</si>
  <si>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</si>
  <si>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</si>
  <si>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</si>
  <si>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</si>
  <si>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</si>
  <si>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</si>
  <si>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</si>
  <si>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</si>
  <si>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</si>
  <si>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</si>
  <si>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</si>
  <si>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</si>
  <si>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</si>
  <si>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</si>
  <si>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</si>
  <si>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</si>
  <si>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</si>
  <si>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</si>
  <si>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</si>
  <si>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</si>
  <si>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</si>
  <si>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</si>
  <si>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</si>
  <si>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</si>
  <si>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</si>
  <si>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</si>
  <si>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</si>
  <si>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</si>
  <si>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</si>
  <si>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</si>
  <si>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</si>
  <si>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</si>
  <si>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</si>
  <si>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</si>
  <si>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</si>
  <si>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</si>
  <si>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</si>
  <si>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</si>
  <si>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</si>
  <si>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</si>
  <si>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</si>
  <si>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</si>
  <si>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</si>
  <si>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</si>
  <si>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</si>
  <si>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</si>
  <si>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t xml:space="preserve">Prvi korak u slučaju sumnje na određeni stupanj invaliditeta podrazumijeva </t>
    </r>
    <r>
      <rPr>
        <b/>
        <sz val="13.5"/>
        <color theme="1"/>
        <rFont val="Times New Roman"/>
        <family val="1"/>
      </rPr>
      <t>postavljanje dijagnoze i medicinsko vještačenje</t>
    </r>
    <r>
      <rPr>
        <sz val="13.5"/>
        <color theme="1"/>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</si>
  <si>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</si>
  <si>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</si>
  <si>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</si>
  <si>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</si>
  <si>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</si>
  <si>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</si>
  <si>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</si>
  <si>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</si>
  <si>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</si>
  <si>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</si>
  <si>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</si>
  <si>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</si>
  <si>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</si>
  <si>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</si>
  <si>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</si>
  <si>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</si>
  <si>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</si>
  <si>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</si>
  <si>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</si>
  <si>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</si>
  <si>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</si>
  <si>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</si>
  <si>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</si>
  <si>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</si>
  <si>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</si>
  <si>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</si>
  <si>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</si>
  <si>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</si>
  <si>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</si>
  <si>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</si>
  <si>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</si>
  <si>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</si>
  <si>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</si>
  <si>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</si>
  <si>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</si>
  <si>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</si>
  <si>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</si>
  <si>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</si>
  <si>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</si>
  <si>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</si>
  <si>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</si>
  <si>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</si>
  <si>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</si>
  <si>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</si>
  <si>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</si>
  <si>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</si>
  <si>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</si>
  <si>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</si>
  <si>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</si>
  <si>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</si>
  <si>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</si>
  <si>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</si>
  <si>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</si>
  <si>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</si>
  <si>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</si>
  <si>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</si>
  <si>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</si>
  <si>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</si>
  <si>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</si>
  <si>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</si>
  <si>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</si>
  <si>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</si>
  <si>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</si>
  <si>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</si>
  <si>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</si>
  <si>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</si>
  <si>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</si>
  <si>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</si>
  <si>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</si>
  <si>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</si>
  <si>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</si>
  <si>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</si>
  <si>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</si>
  <si>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</si>
  <si>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</si>
  <si>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</si>
  <si>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</si>
  <si>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</si>
  <si>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</si>
  <si>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</si>
  <si>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</si>
  <si>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</si>
  <si>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</si>
  <si>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</si>
  <si>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</si>
  <si>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</si>
  <si>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KATEGORJA</t>
  </si>
  <si>
    <t>NAZIV</t>
  </si>
  <si>
    <t>OPIS</t>
  </si>
  <si>
    <t>ŽIVOTNI CIKLUS</t>
  </si>
  <si>
    <t>SEKTOR</t>
  </si>
  <si>
    <t>ORGANIZACIJA</t>
  </si>
  <si>
    <t>ADMIN</t>
  </si>
  <si>
    <t>Općina prema mjestu boravka</t>
  </si>
  <si>
    <t>Izdavanje međunarodnog znaka pristupačnosti za obilježvanje vozila</t>
  </si>
  <si>
    <t>DISKRECIONE</t>
  </si>
  <si>
    <t>Umanjenje poreza na dohodak za zaposlene po osnovu invaliditeta djeteta</t>
  </si>
  <si>
    <t>Poreska uprava općine prema mjestu boravka</t>
  </si>
  <si>
    <t>Željeznice FBiH</t>
  </si>
  <si>
    <t>Jednokratna novčana pomoć</t>
  </si>
  <si>
    <t>Ocjenjivanje sposobnosti djece</t>
  </si>
  <si>
    <t>NEINSTITUCIONALIZIRANA</t>
  </si>
  <si>
    <t>Radni vijek; Treća životna dob</t>
  </si>
  <si>
    <t>Pravo na penziju roditelja u slučaju smrti</t>
  </si>
  <si>
    <t>RTV BIH</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</si>
  <si>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</si>
  <si>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</si>
  <si>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</si>
  <si>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Usluge centara za prevenciju (logopedi, defektolozi)</t>
  </si>
  <si>
    <t>Nadležni dom zdravlja</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</si>
  <si>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</si>
  <si>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</si>
  <si>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</si>
  <si>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</si>
  <si>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</si>
  <si>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</si>
  <si>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</si>
  <si>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</si>
  <si>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</si>
  <si>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</si>
  <si>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</si>
  <si>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</si>
  <si>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</si>
  <si>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</si>
  <si>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</si>
  <si>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</si>
  <si>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</si>
  <si>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</si>
  <si>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</si>
  <si>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</si>
  <si>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</si>
  <si>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</si>
  <si>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</si>
  <si>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</si>
  <si>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</si>
  <si>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</si>
  <si>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</si>
  <si>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</si>
  <si>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</si>
  <si>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</si>
  <si>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</si>
  <si>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</si>
  <si>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</si>
  <si>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</si>
  <si>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</si>
  <si>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</si>
  <si>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</si>
  <si>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Zakon o socijalnoj zaštiti; zaštiti civilnih žrtava rata i zaštiti porodice sa djecom</t>
  </si>
  <si>
    <t>Zakon o profesionalnoj rehabilitaciji; osposobljavanju i zapošljavanju osoba s invaliditetom Federacije BiH</t>
  </si>
  <si>
    <t>Radni vijek; treća životna dob</t>
  </si>
  <si>
    <t>Novorođenče; predškolska dob; školska dob; radni vijek; treća životna dob</t>
  </si>
  <si>
    <t>Predškolska dob; školska dob</t>
  </si>
  <si>
    <t>Novorođenče; predškolska dob; školska dob</t>
  </si>
  <si>
    <t>Novorođenče; Predškolska dob; Školska dob; Radni vijek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</si>
</sst>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b/>
      <sz val="13.5"/>
      <color theme="1"/>
      <name val="Times New Roman"/>
      <family val="1"/>
    </font>
  </fonts>
  <fills count="14">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s>
  <cellStyleXfs count="2">
    <xf numFmtId="0" fontId="0" fillId="0" borderId="0"/>
    <xf numFmtId="0" fontId="5" fillId="0" borderId="0" applyNumberFormat="0" applyFill="0" applyBorder="0" applyAlignment="0" applyProtection="0"/>
  </cellStyleXfs>
  <cellXfs count="172">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40" fillId="0" borderId="0" xfId="0" applyFont="1" applyAlignment="1">
      <alignment horizontal="center" vertical="center"/>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microsoft.com/office/2017/10/relationships/person" Target="persons/person.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Q31" totalsRowShown="0" headerRowDxfId="56" dataDxfId="54" headerRowBorderDxfId="55" tableBorderDxfId="53" totalsRowBorderDxfId="52">
  <tableColumns count="17">
    <tableColumn id="1" xr3:uid="{1F9E85E2-0B42-4580-82E0-6EEF465356B7}" name="#" dataDxfId="51"/>
    <tableColumn id="2" xr3:uid="{4219DB81-11D2-48FE-B7E2-5608FFF50B55}" name="Naziv " dataDxfId="50"/>
    <tableColumn id="3" xr3:uid="{694A58F1-2A0C-4062-B856-7D3DE3AB2B87}" name="Opis" dataDxfId="49"/>
    <tableColumn id="4" xr3:uid="{E6B32774-7F5A-4404-BA91-DAEFC1C6DC74}" name="Životna dob" dataDxfId="48"/>
    <tableColumn id="5" xr3:uid="{F53571F7-E67A-4D75-B971-A9E579E334CE}" name="Godine" dataDxfId="47"/>
    <tableColumn id="6" xr3:uid="{C56B24ED-F555-4C1E-8F1F-95E0A9F19EBD}" name="Tip usluge/prava/benefita" dataDxfId="46"/>
    <tableColumn id="7" xr3:uid="{E061CC34-19FF-417C-8134-E10A7AFAB410}" name="Institucija" dataDxfId="45"/>
    <tableColumn id="8" xr3:uid="{772F549A-88E3-465F-A720-D9DB53E72F53}" name="Adresa" dataDxfId="44"/>
    <tableColumn id="9" xr3:uid="{4CEF74C2-07E0-4B89-85D3-C9E9B9A1743A}" name="Web stranica" dataDxfId="43"/>
    <tableColumn id="10" xr3:uid="{DF65403C-1AF1-4456-B8F7-E59BD4641A90}" name="Telefon" dataDxfId="42"/>
    <tableColumn id="11" xr3:uid="{691CF05D-6BDD-4AAD-97E1-9C52B75F2E41}" name="Email" dataDxfId="41"/>
    <tableColumn id="12" xr3:uid="{AE92B2E5-DC89-43B9-A62F-8B64611EDD93}" name="Pravni osnov" dataDxfId="40"/>
    <tableColumn id="13" xr3:uid="{6CEED575-5B30-4A77-AB59-1EC60905A98A}" name="Proces aplikacije" dataDxfId="39"/>
    <tableColumn id="14" xr3:uid="{FFE031DC-1278-4B8E-AE6A-C8D486B3F7DB}" name="Lista neophodnih dokumenata" dataDxfId="38"/>
    <tableColumn id="15" xr3:uid="{A3CB64C4-787A-4D5D-A31E-037D47BCA561}" name="Link za informacije o prijavi" dataDxfId="37"/>
    <tableColumn id="16" xr3:uid="{2A4E65B2-B182-44CE-8C1E-844CC2177CFC}" name="Vremenski okvir" dataDxfId="36"/>
    <tableColumn id="17" xr3:uid="{D7268B50-AA0A-4678-B0CA-B96626BF4CE7}" name="Dodatne napomene"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34" dataDxfId="32" headerRowBorderDxfId="33" tableBorderDxfId="31">
  <tableColumns count="14">
    <tableColumn id="1" xr3:uid="{93C9BA4B-E353-4D19-A8B1-FD649D881751}" name="Naziv " dataDxfId="30"/>
    <tableColumn id="2" xr3:uid="{37CD3CA4-A5B4-48AA-8EAB-A634118E07F6}" name="Opis" dataDxfId="29"/>
    <tableColumn id="3" xr3:uid="{166DA75C-3FDE-4343-A1C5-D2960F08F3B9}" name="Tip usluge/prava/benefita" dataDxfId="28"/>
    <tableColumn id="4" xr3:uid="{7400F049-A05D-4A4E-99A4-43B56FBA226C}" name="Životna dob" dataDxfId="27"/>
    <tableColumn id="6" xr3:uid="{762D7820-5F72-4954-AFF5-8563D1F25EDF}" name="Korisnici" dataDxfId="26"/>
    <tableColumn id="7" xr3:uid="{037E89ED-4586-4EB8-8009-1DC090C06F9E}" name="Ministartvo/Organizacija" dataDxfId="25"/>
    <tableColumn id="8" xr3:uid="{2DE3B312-9D8F-4CF9-8624-2A6E25D376D2}" name="Adresa" dataDxfId="24"/>
    <tableColumn id="9" xr3:uid="{F2FDB37F-57A2-4F5E-8AE1-29D816260855}" name="Web stranica" dataDxfId="23"/>
    <tableColumn id="10" xr3:uid="{9507BFE2-DD4B-41AE-A7ED-EE3EA04689F9}" name="Telefon" dataDxfId="22"/>
    <tableColumn id="11" xr3:uid="{422D2703-FD84-4A66-A590-54DC013958FF}" name="Email" dataDxfId="21"/>
    <tableColumn id="12" xr3:uid="{7DAAC0A0-5795-416B-8172-BF7FB16CF71C}" name="Pravni okvir" dataDxfId="20"/>
    <tableColumn id="13" xr3:uid="{3FECE412-1757-4D30-BE43-D03589D55C54}" name="Proces aplikacije" dataDxfId="19"/>
    <tableColumn id="14" xr3:uid="{9CCCC0FB-8F10-4A5D-BA9F-34BEB2AACEA9}" name="Lista neophodnih dokumenata" dataDxfId="18"/>
    <tableColumn id="15" xr3:uid="{897F94AA-266F-4177-BC01-F1BA673F652B}" name="Link za informacije o prijavi"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16" dataDxfId="15" tableBorderDxfId="14">
  <autoFilter ref="A1:F11" xr:uid="{F8E5540E-A15D-4EBA-B54B-F2677BCFD519}"/>
  <tableColumns count="6">
    <tableColumn id="1" xr3:uid="{3CD3A6FA-48B3-4742-8A53-DD72379ADF8D}" name="Naziv " dataDxfId="13"/>
    <tableColumn id="2" xr3:uid="{822BDE87-6F30-4A0E-A5E2-A9CA37AF424B}" name="Opis" dataDxfId="12"/>
    <tableColumn id="3" xr3:uid="{58D77055-6C4D-4085-8930-2E537F7B48A2}" name="Životna dob" dataDxfId="11"/>
    <tableColumn id="5" xr3:uid="{63ED1170-2807-4400-9BED-30ED8580EBF4}" name="Pravni osnov" dataDxfId="10"/>
    <tableColumn id="6" xr3:uid="{EDBC30B4-6F48-4A07-8E16-A1D618F93B57}" name="Pojašnjenje (Član)" dataDxfId="9"/>
    <tableColumn id="7" xr3:uid="{97503B81-1CB4-45AC-A9F3-58BBE73723CB}" name="Web stranica" dataDxfId="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7">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1.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2.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www.gcs.ba/"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topLeftCell="A3" workbookViewId="0">
      <selection activeCell="P26" sqref="P26"/>
    </sheetView>
  </sheetViews>
  <sheetFormatPr defaultColWidth="8.85546875" defaultRowHeight="15"/>
  <cols>
    <col min="1" max="3" width="8.140625" customWidth="1"/>
  </cols>
  <sheetData>
    <row r="1" spans="1:15" ht="17.45" customHeight="1">
      <c r="A1" s="13" t="str" cm="1">
        <f t="array" ref="A1:A12">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3">_xlfn._xlws.FILTER('Administrativni postupci'!$B$2:$B$96,ISNUMBER(SEARCH("Treća životna dob",'Administrativni postupci'!$D$2:$D$96)), "0")</f>
        <v>Usluga dnevnog ili poludnevnog boravka u Centar za dnevni boravak – Gerontološki centar</v>
      </c>
      <c r="N1" s="13" t="str" cm="1">
        <f t="array" ref="N1:N10">_xlfn._xlws.FILTER('Diskrecione usluge'!$A$2:$A$95,ISNUMBER(SEARCH("Treća životna dob",'Diskrecione usluge'!$D$2:$D$95)), "0")</f>
        <v>Ambulanta "Sve na jednom mjestu" za djecu i osobe s poteškoćama u razvoju</v>
      </c>
      <c r="O1" s="13" t="str" cm="1">
        <f t="array" ref="O1:O4">_xlfn._xlws.FILTER('Neinstitucionalizirana prava'!$A$2:$A$98,ISNUMBER(SEARCH("Treća životna dob",'Neinstitucionalizirana prava'!$C$2:$C$98)), "0")</f>
        <v>Pravo na kućnu njegu</v>
      </c>
    </row>
    <row r="2" spans="1:15">
      <c r="A2" s="13" t="str">
        <v>Kupovina lijekova po posebnim protokolima</v>
      </c>
      <c r="B2" s="13" t="str">
        <v>Usluge centara za prevenciju i rehabilitaciju, defektologa, logopeda</v>
      </c>
      <c r="C2" s="13" t="str">
        <v>Pravo roditelja njegovatelja na osiguranje</v>
      </c>
      <c r="D2" t="str">
        <v>Kupovina lijekova po posebnim protokolima</v>
      </c>
      <c r="E2" t="str">
        <v>Usluge centara za prevenciju i rehabilitaciju, defektologa, logopeda</v>
      </c>
      <c r="F2" t="str">
        <v>Pravo roditelja njegovatelja na osiguranje</v>
      </c>
      <c r="G2" s="13" t="str">
        <v>Kupovina lijekova po posebnim protokolima</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Pravo roditelja njegovatelja na osiguranje</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t="str">
        <v>Pravo roditelja njegovatelja na pokrivanje troškova sahrane/dženaze</v>
      </c>
    </row>
    <row r="4" spans="1:15">
      <c r="A4" s="13" t="str">
        <v>Medicinska sredstva - ortopedska pomagala</v>
      </c>
      <c r="B4" s="13" t="str">
        <v>Jednokratna novčana pomoć za teško bolesne osobe i umjetnu oplodnju</v>
      </c>
      <c r="C4" s="13" t="str">
        <v>Prednost u primanju usluga u zdravstvenom i drugim institucijama</v>
      </c>
      <c r="D4" t="str">
        <v>Medicinska sredstva - ortopedska pomagala</v>
      </c>
      <c r="E4" t="str">
        <v>Jednokratna novčana pomoć za teško bolesne osobe i umjetnu oplodnju</v>
      </c>
      <c r="F4" t="str">
        <v>Prednost u primanju usluga u zdravstvenom i drugim institucijama</v>
      </c>
      <c r="G4" s="13" t="str">
        <v>Medicinska sredstva - ortopedska pomagala</v>
      </c>
      <c r="H4" s="13" t="str">
        <v>Jednokratna novčana pomoć za invalidna lica</v>
      </c>
      <c r="I4" s="13" t="str">
        <v xml:space="preserve">Pravo na srednje obrazovanje u redovnim ili specijalnim školama </v>
      </c>
      <c r="J4" t="str">
        <v>Kupovina lijekova po posebnim protokolima</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t="str">
        <v>Prednost u primanju usluga u zdravstvenom i drugim institucijama</v>
      </c>
    </row>
    <row r="5" spans="1:15">
      <c r="A5" s="13" t="str">
        <v>Ocjenjivanje sposobnosti, razvrstavanje djece i omladine ometene u psiho-fizičkom razvoju</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Pravo na ličnu invalidninu, dodatak za njegu i pomoć drugog lica i ortopedski dodatak</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stalnu novčanu pomoć</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Kupovina lijekova po posebnim protokolima</v>
      </c>
      <c r="N7" s="13" t="str">
        <v xml:space="preserve">Osnovni paket fiksne telefonije - socijalni </v>
      </c>
      <c r="O7" s="13"/>
    </row>
    <row r="8" spans="1:15">
      <c r="A8" s="13" t="str">
        <v>Pravo na zdravstvenu zaštitu</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Umanjenje poreza na dohodak za zaposlene</v>
      </c>
      <c r="O8" s="13"/>
    </row>
    <row r="9" spans="1:15">
      <c r="A9" s="13" t="str">
        <v>Priznavanje statusa roditelja njegovatelja</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v>
      </c>
      <c r="N9" s="13" t="str">
        <v>Posebna ishrana - enteralna prehrana za djecu i odrasle; bezglutensko brašno za oboljele od celijaklije</v>
      </c>
      <c r="O9" s="13"/>
    </row>
    <row r="10" spans="1:15">
      <c r="A10" s="13" t="str">
        <v>Refundacija troškova lijekova i liječenja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t="str">
        <v>Povlastice u željezničkom saobraćaju</v>
      </c>
      <c r="O10" s="13"/>
    </row>
    <row r="11" spans="1:15">
      <c r="A11" s="13" t="str">
        <v>Smještaj u Gerontološki centar – Privatni ugovori potpisani sa fizičkim licima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hospis</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Priznavanje statusa roditelja njegovatelja</v>
      </c>
    </row>
    <row r="16" spans="1:15">
      <c r="G16" t="str">
        <v>Sufinansiranje troškova prijevoza djece sa poteškoćama u kretanju</v>
      </c>
      <c r="H16" t="str">
        <v>Uvećani dječiji doplatak</v>
      </c>
      <c r="J16" t="str">
        <v>Smještaj u hospis</v>
      </c>
      <c r="M16" t="str">
        <v>Refundacija troškova lijekova i liječenja</v>
      </c>
    </row>
    <row r="17" spans="13:13">
      <c r="M17" t="str">
        <v>Smještaj u Gerontološki centar – Privatni ugovori potpisani sa fizičkim licima</v>
      </c>
    </row>
    <row r="18" spans="13:13">
      <c r="M18" t="str">
        <v>Smještaj u hospis</v>
      </c>
    </row>
    <row r="19" spans="13:13">
      <c r="M19" t="str">
        <v>Smještaj u ustanovu, njega, rehabilitacija i socijalna zaštita – Dom za djecu bez roditeljskog staranja</v>
      </c>
    </row>
    <row r="20" spans="13:13">
      <c r="M20" t="str">
        <v>Smještaj u ustanovu, njega, rehabilitacija i socijalna zaštita – Gerontološki centar</v>
      </c>
    </row>
    <row r="21" spans="13:13">
      <c r="M21" t="str">
        <v>Stalna novčana pomoć za kupovinu hljeba i mlijeka lica starija od 60 godina bez primanja</v>
      </c>
    </row>
    <row r="22" spans="13:13">
      <c r="M22" t="str">
        <v>Stalna novčana pomoć za kupovinu hljeba i mlijeka penzioneri sa minimalnom penzijom</v>
      </c>
    </row>
    <row r="23" spans="13:13">
      <c r="M23"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19.7109375" style="62" customWidth="1"/>
    <col min="11" max="11" width="60.42578125" style="62" customWidth="1"/>
    <col min="12" max="12" width="23.42578125" style="62" customWidth="1"/>
    <col min="13" max="13" width="41.28515625" style="62" customWidth="1"/>
    <col min="14" max="14" width="24.42578125" style="62" customWidth="1"/>
    <col min="15" max="15" width="26.28515625" style="62" customWidth="1"/>
    <col min="16" max="16" width="24.28515625" style="62" bestFit="1" customWidth="1"/>
    <col min="17" max="16384" width="8.710937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5"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7.5">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5"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8.5">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4999999999999"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45">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360">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5"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52.5">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94.5">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5"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5"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5"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36.5">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73.5">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5"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1">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5"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5"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0" zoomScaleNormal="115" workbookViewId="0"/>
  </sheetViews>
  <sheetFormatPr defaultColWidth="8.85546875" defaultRowHeight="1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K15" sqref="K15"/>
    </sheetView>
  </sheetViews>
  <sheetFormatPr defaultRowHeight="15"/>
  <cols>
    <col min="18" max="18" width="10.28515625" customWidth="1"/>
  </cols>
  <sheetData>
    <row r="1" spans="2:21" ht="32.450000000000003" customHeight="1"/>
    <row r="2" spans="2:21">
      <c r="B2" s="156" t="s">
        <v>357</v>
      </c>
      <c r="C2" s="156"/>
      <c r="D2" s="156"/>
      <c r="E2" s="156"/>
      <c r="F2" s="156"/>
      <c r="G2" s="156"/>
      <c r="H2" s="156"/>
      <c r="I2" s="156"/>
      <c r="J2" s="156"/>
      <c r="K2" s="156"/>
      <c r="L2" s="156"/>
      <c r="M2" s="156"/>
      <c r="N2" s="156"/>
      <c r="O2" s="156"/>
      <c r="P2" s="156"/>
      <c r="Q2" s="156"/>
      <c r="R2" s="156"/>
      <c r="S2" s="156"/>
      <c r="T2" s="156"/>
      <c r="U2" s="156"/>
    </row>
    <row r="3" spans="2:21">
      <c r="B3" s="156"/>
      <c r="C3" s="156"/>
      <c r="D3" s="156"/>
      <c r="E3" s="156"/>
      <c r="F3" s="156"/>
      <c r="G3" s="156"/>
      <c r="H3" s="156"/>
      <c r="I3" s="156"/>
      <c r="J3" s="156"/>
      <c r="K3" s="156"/>
      <c r="L3" s="156"/>
      <c r="M3" s="156"/>
      <c r="N3" s="156"/>
      <c r="O3" s="156"/>
      <c r="P3" s="156"/>
      <c r="Q3" s="156"/>
      <c r="R3" s="156"/>
      <c r="S3" s="156"/>
      <c r="T3" s="156"/>
      <c r="U3" s="156"/>
    </row>
    <row r="6" spans="2:21">
      <c r="B6" s="157" t="s">
        <v>358</v>
      </c>
      <c r="C6" s="157"/>
      <c r="D6" s="157"/>
      <c r="E6" s="157"/>
      <c r="F6" s="157"/>
      <c r="G6" s="157"/>
      <c r="H6" s="157"/>
      <c r="I6" s="157"/>
      <c r="J6" s="157"/>
      <c r="K6" s="157"/>
      <c r="L6" s="157"/>
      <c r="M6" s="157"/>
      <c r="N6" s="157"/>
      <c r="O6" s="157"/>
      <c r="P6" s="157"/>
      <c r="Q6" s="157"/>
      <c r="R6" s="157"/>
      <c r="S6" s="157"/>
      <c r="T6" s="157"/>
      <c r="U6" s="157"/>
    </row>
    <row r="7" spans="2:21">
      <c r="B7" s="157"/>
      <c r="C7" s="157"/>
      <c r="D7" s="157"/>
      <c r="E7" s="157"/>
      <c r="F7" s="157"/>
      <c r="G7" s="157"/>
      <c r="H7" s="157"/>
      <c r="I7" s="157"/>
      <c r="J7" s="157"/>
      <c r="K7" s="157"/>
      <c r="L7" s="157"/>
      <c r="M7" s="157"/>
      <c r="N7" s="157"/>
      <c r="O7" s="157"/>
      <c r="P7" s="157"/>
      <c r="Q7" s="157"/>
      <c r="R7" s="157"/>
      <c r="S7" s="157"/>
      <c r="T7" s="157"/>
      <c r="U7" s="157"/>
    </row>
    <row r="8" spans="2:21" ht="18.95" customHeight="1">
      <c r="B8" s="157"/>
      <c r="C8" s="157"/>
      <c r="D8" s="157"/>
      <c r="E8" s="157"/>
      <c r="F8" s="157"/>
      <c r="G8" s="157"/>
      <c r="H8" s="157"/>
      <c r="I8" s="157"/>
      <c r="J8" s="157"/>
      <c r="K8" s="157"/>
      <c r="L8" s="157"/>
      <c r="M8" s="157"/>
      <c r="N8" s="157"/>
      <c r="O8" s="157"/>
      <c r="P8" s="157"/>
      <c r="Q8" s="157"/>
      <c r="R8" s="157"/>
      <c r="S8" s="157"/>
      <c r="T8" s="157"/>
      <c r="U8" s="157"/>
    </row>
    <row r="28" spans="13:19" ht="18.75">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E12" sqref="E12"/>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85.28515625" style="150" customWidth="1"/>
    <col min="6" max="8" width="14.85546875" style="150" customWidth="1"/>
    <col min="9" max="9" width="8.5703125" style="18"/>
    <col min="10" max="16384" width="8.5703125" style="10"/>
  </cols>
  <sheetData>
    <row r="9" spans="2:8" ht="15.75">
      <c r="C9" s="17"/>
    </row>
    <row r="11" spans="2:8" ht="15.75" thickBot="1"/>
    <row r="12" spans="2:8" ht="68.25"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66.75" customHeight="1" thickTop="1" thickBot="1">
      <c r="B14" s="12" t="s">
        <v>362</v>
      </c>
      <c r="C14" s="16" t="s">
        <v>13</v>
      </c>
      <c r="E14" s="154" t="str">
        <f>VLOOKUP(C14,Table5[],2,0)</f>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
      <c r="F14" s="152" t="str">
        <f>VLOOKUP(C14,Table5[],6,0)</f>
        <v>BH Telecom</v>
      </c>
      <c r="G14" s="152" t="str">
        <f>VLOOKUP(C14,Table5[],7,0)</f>
        <v>Zmaja od Bosne 88</v>
      </c>
      <c r="H14" s="153">
        <f>VLOOKUP('1'!C14,Table5[],9,0)</f>
        <v>38733653093</v>
      </c>
    </row>
    <row r="15" spans="2:8" ht="16.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11" spans="2:8" ht="15.75"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6.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38733653093</v>
      </c>
    </row>
    <row r="15" spans="2:8" ht="16.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11" spans="2:8" ht="15.75"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38733653093</v>
      </c>
    </row>
    <row r="15" spans="2:8" ht="16.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1.6" customHeight="1" thickTop="1" thickBot="1">
      <c r="B14" s="12" t="s">
        <v>362</v>
      </c>
      <c r="C14" s="16" t="s">
        <v>44</v>
      </c>
      <c r="E14" s="154" t="str">
        <f>VLOOKUP(C14,Table5[],2,0)</f>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
      <c r="F14" s="152" t="str">
        <f>VLOOKUP(C14,Table5[],6,0)</f>
        <v>MUP Kantona Sarajevo</v>
      </c>
      <c r="G14" s="152">
        <f>VLOOKUP(C14,Table5[],7,0)</f>
        <v>0</v>
      </c>
      <c r="H14" s="153">
        <f>VLOOKUP('1'!C14,Table5[],9,0)</f>
        <v>38733653093</v>
      </c>
    </row>
    <row r="15" spans="2:8" ht="16.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8" t="str">
        <f>VLOOKUP(C16,'Neinstitucionalizirana prava'!A6:F11,4,0)</f>
        <v>Zakon o profesionalnoj rehabilitaciji; osposobljavanju i zapošljavanju osoba s invaliditetom Federacije BiH</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zoomScaleNormal="10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 customHeight="1" thickTop="1" thickBot="1">
      <c r="B12" s="12" t="s">
        <v>361</v>
      </c>
      <c r="C12" s="16" t="s">
        <v>8</v>
      </c>
      <c r="E12" s="154" t="str">
        <f>VLOOKUP(C12,Table2[[Naziv ]:[Dodatne napomene]],2,0)</f>
        <v>Pravo na liječenje rijetkih i teških oboljenja po posebnim protokolima (reumatoidini artritis, juvenilni idiopatski artritis, enteralna prehrana, bezglutensko brašno za oboljele od celijaklije)</v>
      </c>
      <c r="F12" s="152" t="str">
        <f>VLOOKUP(C12,Table2[[Naziv ]:[Dodatne napomene]],6,0)</f>
        <v>Zavod zdravstvenog osiguranja Kantona Sarajevo/zdravstvene ustanove</v>
      </c>
      <c r="G12" s="152" t="str">
        <f>VLOOKUP(C12,Table2[[Naziv ]:[Dodatne napomene]],7,0)</f>
        <v>Ložionička 2, 71000 Sarajevo, Bosna i Hercegovina</v>
      </c>
      <c r="H12" s="153">
        <f>VLOOKUP(C12,Table2[[Naziv ]:[Dodatne napomene]],9,0)</f>
        <v>38733725207</v>
      </c>
    </row>
    <row r="13" spans="2:8" ht="16.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38733653093</v>
      </c>
    </row>
    <row r="15" spans="2:8" ht="16.5" thickTop="1" thickBot="1">
      <c r="B15" s="11"/>
      <c r="E15" s="155"/>
    </row>
    <row r="16" spans="2:8" ht="51" customHeight="1" thickTop="1" thickBot="1">
      <c r="B16" s="12" t="s">
        <v>363</v>
      </c>
      <c r="C16" s="16" t="s">
        <v>16</v>
      </c>
      <c r="E16" s="154" t="e">
        <f>VLOOKUP(C16,'Neinstitucionalizirana prava'!A6:F11,2,0)</f>
        <v>#N/A</v>
      </c>
      <c r="F16" s="158" t="e">
        <f>VLOOKUP(C16,'Neinstitucionalizirana prava'!A6:F11,4,0)</f>
        <v>#N/A</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1" t="s">
        <v>365</v>
      </c>
      <c r="B3" s="161"/>
      <c r="C3" s="161"/>
      <c r="D3" s="161"/>
      <c r="E3" s="161"/>
      <c r="F3" s="161"/>
      <c r="G3" s="161"/>
      <c r="H3" s="161"/>
      <c r="I3" s="6"/>
      <c r="J3" s="6"/>
      <c r="K3" s="6"/>
      <c r="L3" s="6"/>
      <c r="M3" s="6"/>
      <c r="N3" s="6"/>
      <c r="O3" s="6"/>
      <c r="P3" s="6"/>
      <c r="Q3" s="6"/>
      <c r="R3" s="6"/>
      <c r="S3" s="6"/>
      <c r="T3" s="6"/>
      <c r="U3" s="6"/>
    </row>
    <row r="4" spans="1:21" ht="14.25" customHeight="1"/>
    <row r="6" spans="1:21" ht="33.75" customHeight="1">
      <c r="B6" s="8" t="s">
        <v>0</v>
      </c>
      <c r="C6" s="168" t="s">
        <v>2</v>
      </c>
      <c r="D6" s="169"/>
    </row>
    <row r="7" spans="1:21" ht="31.5" customHeight="1">
      <c r="B7" s="8" t="s">
        <v>1</v>
      </c>
      <c r="C7" s="170" t="s">
        <v>4</v>
      </c>
      <c r="D7" s="170"/>
    </row>
    <row r="8" spans="1:21">
      <c r="B8" s="160" t="s">
        <v>74</v>
      </c>
      <c r="C8" s="162" t="e">
        <f>VLOOKUP(C7,All,3,0)</f>
        <v>#N/A</v>
      </c>
      <c r="D8" s="163"/>
    </row>
    <row r="9" spans="1:21" ht="78" customHeight="1">
      <c r="B9" s="160"/>
      <c r="C9" s="164"/>
      <c r="D9" s="165"/>
    </row>
    <row r="10" spans="1:21" ht="28.5" customHeight="1">
      <c r="B10" s="7" t="s">
        <v>366</v>
      </c>
      <c r="C10" s="166" t="e">
        <f>VLOOKUP($C$7,Usluge,6,0)</f>
        <v>#NAME?</v>
      </c>
      <c r="D10" s="167"/>
    </row>
    <row r="11" spans="1:21">
      <c r="B11" s="7" t="s">
        <v>77</v>
      </c>
      <c r="C11" s="166" t="e">
        <f>VLOOKUP($C$7,Usluge,7,0)</f>
        <v>#NAME?</v>
      </c>
      <c r="D11" s="167"/>
    </row>
    <row r="12" spans="1:21">
      <c r="B12" s="7" t="s">
        <v>78</v>
      </c>
      <c r="C12" s="166" t="e">
        <f>VLOOKUP($C$7,Usluge,8,0)</f>
        <v>#NAME?</v>
      </c>
      <c r="D12" s="167"/>
    </row>
    <row r="13" spans="1:21">
      <c r="B13" s="7" t="s">
        <v>79</v>
      </c>
      <c r="C13" s="166" t="e">
        <f>VLOOKUP($C$7,Usluge,9,0)</f>
        <v>#NAME?</v>
      </c>
      <c r="D13" s="167"/>
    </row>
    <row r="14" spans="1:21">
      <c r="B14" s="7" t="s">
        <v>80</v>
      </c>
      <c r="C14" s="166" t="e">
        <f>VLOOKUP($C$7,Usluge,10,0)</f>
        <v>#NAME?</v>
      </c>
      <c r="D14" s="167"/>
    </row>
    <row r="15" spans="1:21" ht="62.25" customHeight="1">
      <c r="B15" s="7" t="s">
        <v>82</v>
      </c>
      <c r="C15" s="162" t="e">
        <f>VLOOKUP($C$7,Usluge,11,0)</f>
        <v>#NAME?</v>
      </c>
      <c r="D15" s="163"/>
    </row>
    <row r="16" spans="1:21" ht="126" customHeight="1">
      <c r="B16" s="7" t="s">
        <v>83</v>
      </c>
      <c r="C16" s="162" t="e">
        <f>VLOOKUP($C$7,Usluge,12,0)</f>
        <v>#NAME?</v>
      </c>
      <c r="D16" s="163"/>
    </row>
    <row r="17" spans="2:4">
      <c r="B17" s="7" t="s">
        <v>84</v>
      </c>
      <c r="C17" s="166" t="e">
        <f>VLOOKUP($C$7,Usluge,13,0)</f>
        <v>#NAME?</v>
      </c>
      <c r="D17" s="167"/>
    </row>
    <row r="18" spans="2:4">
      <c r="B18" s="7" t="s">
        <v>85</v>
      </c>
      <c r="C18" s="171" t="e">
        <f>VLOOKUP($C$7,Usluge,15,0)</f>
        <v>#NAME?</v>
      </c>
      <c r="D18" s="171"/>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Q31"/>
  <sheetViews>
    <sheetView showGridLines="0" zoomScale="85" zoomScaleNormal="85" workbookViewId="0">
      <pane ySplit="1" topLeftCell="A30" activePane="bottomLeft" state="frozen"/>
      <selection activeCell="B4" sqref="B4"/>
      <selection pane="bottomLeft" activeCell="D3" sqref="D3"/>
    </sheetView>
  </sheetViews>
  <sheetFormatPr defaultColWidth="9.140625" defaultRowHeight="12.75"/>
  <cols>
    <col min="1" max="1" width="3.85546875" style="130" customWidth="1"/>
    <col min="2" max="2" width="21.42578125" style="131" bestFit="1" customWidth="1"/>
    <col min="3" max="3" width="45.5703125" style="130" customWidth="1"/>
    <col min="4" max="4" width="20.42578125" style="130" customWidth="1"/>
    <col min="5" max="5" width="11.42578125" style="130" hidden="1" customWidth="1"/>
    <col min="6" max="7" width="23" style="130" customWidth="1"/>
    <col min="8" max="8" width="15.42578125" style="130" customWidth="1"/>
    <col min="9" max="9" width="21.5703125" style="130" customWidth="1"/>
    <col min="10" max="10" width="21.140625" style="130" customWidth="1"/>
    <col min="11" max="11" width="16.5703125" style="130" customWidth="1"/>
    <col min="12" max="12" width="62.5703125" style="130" customWidth="1"/>
    <col min="13" max="13" width="48" style="130" customWidth="1"/>
    <col min="14" max="14" width="64.140625" style="130" customWidth="1"/>
    <col min="15" max="15" width="25.5703125" style="130" customWidth="1"/>
    <col min="16" max="16" width="16" style="132" hidden="1" customWidth="1"/>
    <col min="17" max="17" width="25.85546875" style="130" customWidth="1"/>
    <col min="18" max="16384" width="9.140625" style="130"/>
  </cols>
  <sheetData>
    <row r="1" spans="1:17" s="114" customFormat="1" ht="40.5" customHeight="1">
      <c r="A1" s="110" t="s">
        <v>73</v>
      </c>
      <c r="B1" s="111" t="s">
        <v>1</v>
      </c>
      <c r="C1" s="110" t="s">
        <v>74</v>
      </c>
      <c r="D1" s="110" t="s">
        <v>0</v>
      </c>
      <c r="E1" s="110" t="s">
        <v>367</v>
      </c>
      <c r="F1" s="112" t="s">
        <v>75</v>
      </c>
      <c r="G1" s="110" t="s">
        <v>368</v>
      </c>
      <c r="H1" s="110" t="s">
        <v>77</v>
      </c>
      <c r="I1" s="110" t="s">
        <v>78</v>
      </c>
      <c r="J1" s="110" t="s">
        <v>79</v>
      </c>
      <c r="K1" s="110" t="s">
        <v>80</v>
      </c>
      <c r="L1" s="110" t="s">
        <v>81</v>
      </c>
      <c r="M1" s="110" t="s">
        <v>82</v>
      </c>
      <c r="N1" s="110" t="s">
        <v>83</v>
      </c>
      <c r="O1" s="110" t="s">
        <v>84</v>
      </c>
      <c r="P1" s="113" t="s">
        <v>369</v>
      </c>
      <c r="Q1" s="110" t="s">
        <v>85</v>
      </c>
    </row>
    <row r="2" spans="1:17" s="118" customFormat="1" ht="114.75">
      <c r="A2" s="115">
        <v>1</v>
      </c>
      <c r="B2" s="115" t="s">
        <v>68</v>
      </c>
      <c r="C2" s="115" t="s">
        <v>311</v>
      </c>
      <c r="D2" s="115" t="s">
        <v>60</v>
      </c>
      <c r="E2" s="115" t="s">
        <v>370</v>
      </c>
      <c r="F2" s="115" t="s">
        <v>110</v>
      </c>
      <c r="G2" s="115" t="s">
        <v>312</v>
      </c>
      <c r="H2" s="115" t="s">
        <v>313</v>
      </c>
      <c r="I2" s="116" t="s">
        <v>314</v>
      </c>
      <c r="J2" s="115">
        <v>38733777260</v>
      </c>
      <c r="K2" s="116" t="s">
        <v>315</v>
      </c>
      <c r="L2" s="115" t="s">
        <v>316</v>
      </c>
      <c r="M2" s="115" t="s">
        <v>317</v>
      </c>
      <c r="N2" s="115" t="s">
        <v>371</v>
      </c>
      <c r="O2" s="115"/>
      <c r="P2" s="117" t="s">
        <v>372</v>
      </c>
      <c r="Q2" s="115"/>
    </row>
    <row r="3" spans="1:17" s="118" customFormat="1" ht="260.10000000000002" customHeight="1">
      <c r="A3" s="115">
        <v>2</v>
      </c>
      <c r="B3" s="115" t="s">
        <v>4</v>
      </c>
      <c r="C3" s="115" t="s">
        <v>99</v>
      </c>
      <c r="D3" s="115" t="s">
        <v>508</v>
      </c>
      <c r="E3" s="115"/>
      <c r="F3" s="115" t="s">
        <v>100</v>
      </c>
      <c r="G3" s="115" t="s">
        <v>101</v>
      </c>
      <c r="H3" s="115" t="s">
        <v>102</v>
      </c>
      <c r="I3" s="116" t="s">
        <v>103</v>
      </c>
      <c r="J3" s="115" t="s">
        <v>104</v>
      </c>
      <c r="K3" s="86" t="s">
        <v>105</v>
      </c>
      <c r="L3" s="115" t="s">
        <v>106</v>
      </c>
      <c r="M3" s="115" t="s">
        <v>374</v>
      </c>
      <c r="N3" s="115" t="s">
        <v>375</v>
      </c>
      <c r="O3" s="115"/>
      <c r="P3" s="117" t="s">
        <v>376</v>
      </c>
      <c r="Q3" s="115"/>
    </row>
    <row r="4" spans="1:17" s="118" customFormat="1" ht="318.75">
      <c r="A4" s="115">
        <v>3</v>
      </c>
      <c r="B4" s="115" t="s">
        <v>41</v>
      </c>
      <c r="C4" s="115" t="s">
        <v>255</v>
      </c>
      <c r="D4" s="115" t="s">
        <v>508</v>
      </c>
      <c r="E4" s="115"/>
      <c r="F4" s="115" t="s">
        <v>110</v>
      </c>
      <c r="G4" s="115" t="s">
        <v>256</v>
      </c>
      <c r="H4" s="115" t="s">
        <v>257</v>
      </c>
      <c r="I4" s="116" t="s">
        <v>258</v>
      </c>
      <c r="J4" s="115">
        <v>38733226445</v>
      </c>
      <c r="K4" s="115"/>
      <c r="L4" s="115" t="s">
        <v>259</v>
      </c>
      <c r="M4" s="115" t="s">
        <v>260</v>
      </c>
      <c r="N4" s="115" t="s">
        <v>261</v>
      </c>
      <c r="O4" s="116" t="s">
        <v>262</v>
      </c>
      <c r="P4" s="117" t="s">
        <v>377</v>
      </c>
      <c r="Q4" s="116" t="s">
        <v>258</v>
      </c>
    </row>
    <row r="5" spans="1:17" s="118" customFormat="1" ht="178.5">
      <c r="A5" s="115">
        <v>4</v>
      </c>
      <c r="B5" s="119" t="s">
        <v>5</v>
      </c>
      <c r="C5" s="119" t="s">
        <v>378</v>
      </c>
      <c r="D5" s="115" t="s">
        <v>509</v>
      </c>
      <c r="E5" s="119" t="s">
        <v>380</v>
      </c>
      <c r="F5" s="119" t="s">
        <v>110</v>
      </c>
      <c r="G5" s="119" t="s">
        <v>125</v>
      </c>
      <c r="H5" s="119" t="s">
        <v>126</v>
      </c>
      <c r="I5" s="120" t="s">
        <v>127</v>
      </c>
      <c r="J5" s="115">
        <v>38733492125</v>
      </c>
      <c r="K5" s="121" t="s">
        <v>128</v>
      </c>
      <c r="L5" s="119" t="s">
        <v>129</v>
      </c>
      <c r="M5" s="119" t="s">
        <v>130</v>
      </c>
      <c r="N5" s="119" t="s">
        <v>381</v>
      </c>
      <c r="O5" s="121" t="s">
        <v>132</v>
      </c>
      <c r="P5" s="122" t="s">
        <v>382</v>
      </c>
      <c r="Q5" s="119" t="s">
        <v>133</v>
      </c>
    </row>
    <row r="6" spans="1:17" s="118" customFormat="1" ht="216" customHeight="1">
      <c r="A6" s="115">
        <v>5</v>
      </c>
      <c r="B6" s="115" t="s">
        <v>69</v>
      </c>
      <c r="C6" s="115" t="s">
        <v>319</v>
      </c>
      <c r="D6" s="115" t="s">
        <v>60</v>
      </c>
      <c r="E6" s="115"/>
      <c r="F6" s="115" t="s">
        <v>110</v>
      </c>
      <c r="G6" s="115" t="s">
        <v>312</v>
      </c>
      <c r="H6" s="115" t="s">
        <v>265</v>
      </c>
      <c r="I6" s="115" t="s">
        <v>383</v>
      </c>
      <c r="J6" s="115" t="s">
        <v>384</v>
      </c>
      <c r="K6" s="115" t="s">
        <v>385</v>
      </c>
      <c r="L6" s="115" t="s">
        <v>320</v>
      </c>
      <c r="M6" s="138" t="s">
        <v>386</v>
      </c>
      <c r="N6" s="138" t="s">
        <v>387</v>
      </c>
      <c r="O6" s="76" t="s">
        <v>388</v>
      </c>
      <c r="P6" s="117"/>
      <c r="Q6" s="115" t="s">
        <v>321</v>
      </c>
    </row>
    <row r="7" spans="1:17" s="118" customFormat="1" ht="204">
      <c r="A7" s="115">
        <v>6</v>
      </c>
      <c r="B7" s="115" t="s">
        <v>62</v>
      </c>
      <c r="C7" s="115" t="s">
        <v>322</v>
      </c>
      <c r="D7" s="115" t="s">
        <v>60</v>
      </c>
      <c r="E7" s="115" t="s">
        <v>389</v>
      </c>
      <c r="F7" s="115" t="s">
        <v>110</v>
      </c>
      <c r="G7" s="115" t="s">
        <v>284</v>
      </c>
      <c r="H7" s="115" t="s">
        <v>285</v>
      </c>
      <c r="I7" s="123" t="s">
        <v>323</v>
      </c>
      <c r="J7" s="115">
        <v>38733562379</v>
      </c>
      <c r="K7" s="115" t="s">
        <v>332</v>
      </c>
      <c r="L7" s="115"/>
      <c r="M7" s="115" t="s">
        <v>325</v>
      </c>
      <c r="N7" s="115" t="s">
        <v>326</v>
      </c>
      <c r="O7" s="116" t="s">
        <v>327</v>
      </c>
      <c r="P7" s="117"/>
      <c r="Q7" s="115" t="s">
        <v>328</v>
      </c>
    </row>
    <row r="8" spans="1:17" s="118" customFormat="1" ht="132" customHeight="1">
      <c r="A8" s="115">
        <v>7</v>
      </c>
      <c r="B8" s="115" t="s">
        <v>8</v>
      </c>
      <c r="C8" s="124" t="s">
        <v>134</v>
      </c>
      <c r="D8" s="115" t="s">
        <v>509</v>
      </c>
      <c r="E8" s="124" t="s">
        <v>380</v>
      </c>
      <c r="F8" s="124" t="s">
        <v>88</v>
      </c>
      <c r="G8" s="124" t="s">
        <v>135</v>
      </c>
      <c r="H8" s="124" t="s">
        <v>90</v>
      </c>
      <c r="I8" s="125" t="s">
        <v>91</v>
      </c>
      <c r="J8" s="115">
        <v>38733725207</v>
      </c>
      <c r="K8" s="125" t="s">
        <v>92</v>
      </c>
      <c r="L8" s="124" t="s">
        <v>136</v>
      </c>
      <c r="M8" s="124" t="s">
        <v>137</v>
      </c>
      <c r="N8" s="124" t="s">
        <v>95</v>
      </c>
      <c r="O8" s="124" t="s">
        <v>95</v>
      </c>
      <c r="P8" s="124" t="s">
        <v>95</v>
      </c>
      <c r="Q8" s="124" t="s">
        <v>95</v>
      </c>
    </row>
    <row r="9" spans="1:17" s="118" customFormat="1" ht="105">
      <c r="A9" s="115">
        <v>8</v>
      </c>
      <c r="B9" s="115" t="s">
        <v>9</v>
      </c>
      <c r="C9" s="124" t="s">
        <v>138</v>
      </c>
      <c r="D9" s="115" t="s">
        <v>509</v>
      </c>
      <c r="E9" s="124" t="s">
        <v>380</v>
      </c>
      <c r="F9" s="124" t="s">
        <v>88</v>
      </c>
      <c r="G9" s="124" t="s">
        <v>89</v>
      </c>
      <c r="H9" s="124" t="s">
        <v>90</v>
      </c>
      <c r="I9" s="125" t="s">
        <v>91</v>
      </c>
      <c r="J9" s="115">
        <v>38733725207</v>
      </c>
      <c r="K9" s="125" t="s">
        <v>92</v>
      </c>
      <c r="L9" s="124" t="s">
        <v>139</v>
      </c>
      <c r="M9" s="124" t="s">
        <v>140</v>
      </c>
      <c r="N9" s="139" t="s">
        <v>390</v>
      </c>
      <c r="O9" s="140" t="s">
        <v>391</v>
      </c>
      <c r="P9" s="124" t="s">
        <v>95</v>
      </c>
      <c r="Q9" s="124" t="s">
        <v>95</v>
      </c>
    </row>
    <row r="10" spans="1:17" s="118" customFormat="1" ht="120">
      <c r="A10" s="115">
        <v>9</v>
      </c>
      <c r="B10" s="115" t="s">
        <v>10</v>
      </c>
      <c r="C10" s="124" t="s">
        <v>141</v>
      </c>
      <c r="D10" s="115" t="s">
        <v>509</v>
      </c>
      <c r="E10" s="124" t="s">
        <v>380</v>
      </c>
      <c r="F10" s="124" t="s">
        <v>88</v>
      </c>
      <c r="G10" s="124" t="s">
        <v>89</v>
      </c>
      <c r="H10" s="124" t="s">
        <v>90</v>
      </c>
      <c r="I10" s="125" t="s">
        <v>91</v>
      </c>
      <c r="J10" s="115">
        <v>38733725207</v>
      </c>
      <c r="K10" s="125" t="s">
        <v>92</v>
      </c>
      <c r="L10" s="126" t="s">
        <v>142</v>
      </c>
      <c r="M10" s="124" t="s">
        <v>143</v>
      </c>
      <c r="N10" s="139" t="s">
        <v>392</v>
      </c>
      <c r="O10" s="140" t="s">
        <v>393</v>
      </c>
      <c r="P10" s="124" t="s">
        <v>95</v>
      </c>
      <c r="Q10" s="124" t="s">
        <v>95</v>
      </c>
    </row>
    <row r="11" spans="1:17" s="118" customFormat="1" ht="63.75">
      <c r="A11" s="115">
        <v>10</v>
      </c>
      <c r="B11" s="115" t="s">
        <v>42</v>
      </c>
      <c r="C11" s="115" t="s">
        <v>263</v>
      </c>
      <c r="D11" s="115" t="s">
        <v>508</v>
      </c>
      <c r="E11" s="115" t="s">
        <v>380</v>
      </c>
      <c r="F11" s="115" t="s">
        <v>88</v>
      </c>
      <c r="G11" s="115" t="s">
        <v>264</v>
      </c>
      <c r="H11" s="115" t="s">
        <v>265</v>
      </c>
      <c r="I11" s="116" t="s">
        <v>266</v>
      </c>
      <c r="J11" s="115">
        <v>38733562027</v>
      </c>
      <c r="K11" s="116" t="s">
        <v>267</v>
      </c>
      <c r="L11" s="115" t="s">
        <v>268</v>
      </c>
      <c r="M11" s="115"/>
      <c r="N11" s="116" t="s">
        <v>269</v>
      </c>
      <c r="O11" s="116" t="s">
        <v>269</v>
      </c>
      <c r="P11" s="117"/>
      <c r="Q11" s="115"/>
    </row>
    <row r="12" spans="1:17" s="118" customFormat="1" ht="114.75">
      <c r="A12" s="115">
        <v>11</v>
      </c>
      <c r="B12" s="115" t="s">
        <v>34</v>
      </c>
      <c r="C12" s="124" t="s">
        <v>208</v>
      </c>
      <c r="D12" s="115" t="s">
        <v>510</v>
      </c>
      <c r="E12" s="124" t="s">
        <v>395</v>
      </c>
      <c r="F12" s="124" t="s">
        <v>88</v>
      </c>
      <c r="G12" s="124" t="s">
        <v>89</v>
      </c>
      <c r="H12" s="124" t="s">
        <v>90</v>
      </c>
      <c r="I12" s="125" t="s">
        <v>91</v>
      </c>
      <c r="J12" s="115">
        <v>38733725207</v>
      </c>
      <c r="K12" s="125" t="s">
        <v>92</v>
      </c>
      <c r="L12" s="124" t="s">
        <v>209</v>
      </c>
      <c r="M12" s="124" t="s">
        <v>210</v>
      </c>
      <c r="N12" s="139" t="s">
        <v>396</v>
      </c>
      <c r="O12" s="140" t="s">
        <v>397</v>
      </c>
      <c r="P12" s="124" t="s">
        <v>95</v>
      </c>
      <c r="Q12" s="124" t="s">
        <v>95</v>
      </c>
    </row>
    <row r="13" spans="1:17" s="118" customFormat="1" ht="204">
      <c r="A13" s="115">
        <v>12</v>
      </c>
      <c r="B13" s="115" t="s">
        <v>35</v>
      </c>
      <c r="C13" s="115" t="s">
        <v>211</v>
      </c>
      <c r="D13" s="115" t="s">
        <v>510</v>
      </c>
      <c r="E13" s="115" t="s">
        <v>398</v>
      </c>
      <c r="F13" s="115" t="s">
        <v>88</v>
      </c>
      <c r="G13" s="115" t="s">
        <v>212</v>
      </c>
      <c r="H13" s="115" t="s">
        <v>213</v>
      </c>
      <c r="I13" s="116" t="s">
        <v>214</v>
      </c>
      <c r="J13" s="115">
        <v>38733291190</v>
      </c>
      <c r="K13" s="115" t="s">
        <v>215</v>
      </c>
      <c r="L13" s="115" t="s">
        <v>216</v>
      </c>
      <c r="M13" s="115" t="s">
        <v>217</v>
      </c>
      <c r="N13" s="115" t="s">
        <v>218</v>
      </c>
      <c r="O13" s="115" t="s">
        <v>219</v>
      </c>
      <c r="P13" s="117"/>
      <c r="Q13" s="115" t="s">
        <v>220</v>
      </c>
    </row>
    <row r="14" spans="1:17" s="118" customFormat="1" ht="63.75">
      <c r="A14" s="115">
        <v>13</v>
      </c>
      <c r="B14" s="115" t="s">
        <v>11</v>
      </c>
      <c r="C14" s="115" t="s">
        <v>109</v>
      </c>
      <c r="D14" s="115" t="s">
        <v>511</v>
      </c>
      <c r="E14" s="115" t="s">
        <v>398</v>
      </c>
      <c r="F14" s="115" t="s">
        <v>110</v>
      </c>
      <c r="G14" s="115" t="s">
        <v>111</v>
      </c>
      <c r="H14" s="115" t="s">
        <v>112</v>
      </c>
      <c r="I14" s="116" t="s">
        <v>113</v>
      </c>
      <c r="J14" s="115">
        <v>38733723640</v>
      </c>
      <c r="K14" s="116" t="s">
        <v>114</v>
      </c>
      <c r="L14" s="115" t="s">
        <v>115</v>
      </c>
      <c r="M14" s="115"/>
      <c r="N14" s="116" t="s">
        <v>116</v>
      </c>
      <c r="O14" s="116" t="s">
        <v>116</v>
      </c>
      <c r="P14" s="117"/>
      <c r="Q14" s="115"/>
    </row>
    <row r="15" spans="1:17" s="118" customFormat="1" ht="76.5">
      <c r="A15" s="115">
        <v>14</v>
      </c>
      <c r="B15" s="115" t="s">
        <v>53</v>
      </c>
      <c r="C15" s="115" t="s">
        <v>281</v>
      </c>
      <c r="D15" s="115" t="s">
        <v>51</v>
      </c>
      <c r="E15" s="115" t="s">
        <v>398</v>
      </c>
      <c r="F15" s="115" t="s">
        <v>110</v>
      </c>
      <c r="G15" s="115" t="s">
        <v>111</v>
      </c>
      <c r="H15" s="115" t="s">
        <v>112</v>
      </c>
      <c r="I15" s="116" t="s">
        <v>113</v>
      </c>
      <c r="J15" s="115">
        <v>38733723635</v>
      </c>
      <c r="K15" s="116" t="s">
        <v>145</v>
      </c>
      <c r="L15" s="115" t="s">
        <v>146</v>
      </c>
      <c r="M15" s="115"/>
      <c r="N15" s="116" t="s">
        <v>282</v>
      </c>
      <c r="O15" s="116" t="s">
        <v>282</v>
      </c>
      <c r="P15" s="117"/>
      <c r="Q15" s="115"/>
    </row>
    <row r="16" spans="1:17" s="118" customFormat="1" ht="63.75">
      <c r="A16" s="115">
        <v>15</v>
      </c>
      <c r="B16" s="115" t="s">
        <v>17</v>
      </c>
      <c r="C16" s="115" t="s">
        <v>144</v>
      </c>
      <c r="D16" s="115" t="s">
        <v>509</v>
      </c>
      <c r="E16" s="115" t="s">
        <v>380</v>
      </c>
      <c r="F16" s="115" t="s">
        <v>110</v>
      </c>
      <c r="G16" s="115" t="s">
        <v>111</v>
      </c>
      <c r="H16" s="115" t="s">
        <v>112</v>
      </c>
      <c r="I16" s="116" t="s">
        <v>113</v>
      </c>
      <c r="J16" s="115">
        <v>38733723635</v>
      </c>
      <c r="K16" s="116" t="s">
        <v>145</v>
      </c>
      <c r="L16" s="115" t="s">
        <v>146</v>
      </c>
      <c r="M16" s="115" t="s">
        <v>147</v>
      </c>
      <c r="N16" s="116" t="s">
        <v>148</v>
      </c>
      <c r="O16" s="116" t="s">
        <v>148</v>
      </c>
      <c r="P16" s="117">
        <v>60</v>
      </c>
      <c r="Q16" s="115"/>
    </row>
    <row r="17" spans="1:17" s="118" customFormat="1" ht="96" customHeight="1">
      <c r="A17" s="115">
        <v>16</v>
      </c>
      <c r="B17" s="124" t="s">
        <v>63</v>
      </c>
      <c r="C17" s="124" t="s">
        <v>329</v>
      </c>
      <c r="D17" s="124" t="s">
        <v>60</v>
      </c>
      <c r="E17" s="117" t="s">
        <v>370</v>
      </c>
      <c r="F17" s="124" t="s">
        <v>110</v>
      </c>
      <c r="G17" s="115" t="s">
        <v>400</v>
      </c>
      <c r="H17" s="115" t="s">
        <v>112</v>
      </c>
      <c r="I17" s="116" t="s">
        <v>113</v>
      </c>
      <c r="J17" s="115">
        <v>38733723635</v>
      </c>
      <c r="K17" s="116" t="s">
        <v>145</v>
      </c>
      <c r="L17" s="124" t="s">
        <v>146</v>
      </c>
      <c r="M17" s="115" t="s">
        <v>330</v>
      </c>
      <c r="N17" s="116" t="s">
        <v>331</v>
      </c>
      <c r="O17" s="116" t="s">
        <v>331</v>
      </c>
      <c r="P17" s="117">
        <v>60</v>
      </c>
      <c r="Q17" s="115"/>
    </row>
    <row r="18" spans="1:17" s="118" customFormat="1" ht="140.25">
      <c r="A18" s="115">
        <v>17</v>
      </c>
      <c r="B18" s="115" t="s">
        <v>46</v>
      </c>
      <c r="C18" s="115" t="s">
        <v>236</v>
      </c>
      <c r="D18" s="115" t="s">
        <v>40</v>
      </c>
      <c r="E18" s="115" t="s">
        <v>380</v>
      </c>
      <c r="F18" s="115" t="s">
        <v>110</v>
      </c>
      <c r="G18" s="115" t="s">
        <v>111</v>
      </c>
      <c r="H18" s="115" t="s">
        <v>112</v>
      </c>
      <c r="I18" s="116" t="s">
        <v>113</v>
      </c>
      <c r="J18" s="115">
        <v>38733723635</v>
      </c>
      <c r="K18" s="116" t="s">
        <v>145</v>
      </c>
      <c r="L18" s="115" t="s">
        <v>237</v>
      </c>
      <c r="M18" s="115" t="s">
        <v>238</v>
      </c>
      <c r="N18" s="127" t="s">
        <v>239</v>
      </c>
      <c r="O18" s="116" t="s">
        <v>240</v>
      </c>
      <c r="P18" s="117">
        <v>60</v>
      </c>
      <c r="Q18" s="115"/>
    </row>
    <row r="19" spans="1:17" s="118" customFormat="1" ht="280.5">
      <c r="A19" s="115">
        <v>18</v>
      </c>
      <c r="B19" s="115" t="s">
        <v>47</v>
      </c>
      <c r="C19" s="115" t="s">
        <v>241</v>
      </c>
      <c r="D19" s="115" t="s">
        <v>40</v>
      </c>
      <c r="E19" s="115" t="s">
        <v>380</v>
      </c>
      <c r="F19" s="115" t="s">
        <v>222</v>
      </c>
      <c r="G19" s="115" t="s">
        <v>242</v>
      </c>
      <c r="H19" s="115" t="s">
        <v>243</v>
      </c>
      <c r="I19" s="116" t="s">
        <v>244</v>
      </c>
      <c r="J19" s="115">
        <v>38733717740</v>
      </c>
      <c r="K19" s="116" t="s">
        <v>245</v>
      </c>
      <c r="L19" s="115" t="s">
        <v>246</v>
      </c>
      <c r="M19" s="115" t="s">
        <v>247</v>
      </c>
      <c r="N19" s="115" t="s">
        <v>248</v>
      </c>
      <c r="O19" s="116" t="s">
        <v>249</v>
      </c>
      <c r="P19" s="117"/>
      <c r="Q19" s="115" t="s">
        <v>250</v>
      </c>
    </row>
    <row r="20" spans="1:17" s="118" customFormat="1" ht="178.5">
      <c r="A20" s="115">
        <v>19</v>
      </c>
      <c r="B20" s="115" t="s">
        <v>20</v>
      </c>
      <c r="C20" s="115" t="s">
        <v>149</v>
      </c>
      <c r="D20" s="115" t="s">
        <v>509</v>
      </c>
      <c r="E20" s="115" t="s">
        <v>380</v>
      </c>
      <c r="F20" s="115" t="s">
        <v>110</v>
      </c>
      <c r="G20" s="115" t="s">
        <v>111</v>
      </c>
      <c r="H20" s="115" t="s">
        <v>112</v>
      </c>
      <c r="I20" s="116" t="s">
        <v>113</v>
      </c>
      <c r="J20" s="115">
        <v>38733723635</v>
      </c>
      <c r="K20" s="116" t="s">
        <v>145</v>
      </c>
      <c r="L20" s="115" t="s">
        <v>146</v>
      </c>
      <c r="M20" s="115" t="s">
        <v>150</v>
      </c>
      <c r="N20" s="116" t="s">
        <v>151</v>
      </c>
      <c r="O20" s="116" t="s">
        <v>151</v>
      </c>
      <c r="P20" s="117">
        <v>60</v>
      </c>
      <c r="Q20" s="115"/>
    </row>
    <row r="21" spans="1:17" s="118" customFormat="1" ht="51">
      <c r="A21" s="115">
        <v>20</v>
      </c>
      <c r="B21" s="115" t="s">
        <v>21</v>
      </c>
      <c r="C21" s="115" t="s">
        <v>152</v>
      </c>
      <c r="D21" s="115" t="s">
        <v>509</v>
      </c>
      <c r="E21" s="115" t="s">
        <v>380</v>
      </c>
      <c r="F21" s="115" t="s">
        <v>110</v>
      </c>
      <c r="G21" s="115" t="s">
        <v>111</v>
      </c>
      <c r="H21" s="115" t="s">
        <v>112</v>
      </c>
      <c r="I21" s="116" t="s">
        <v>113</v>
      </c>
      <c r="J21" s="115">
        <v>38733723635</v>
      </c>
      <c r="K21" s="116" t="s">
        <v>145</v>
      </c>
      <c r="L21" s="115" t="s">
        <v>146</v>
      </c>
      <c r="M21" s="115" t="s">
        <v>153</v>
      </c>
      <c r="N21" s="116" t="s">
        <v>154</v>
      </c>
      <c r="O21" s="116" t="s">
        <v>154</v>
      </c>
      <c r="P21" s="117">
        <v>60</v>
      </c>
      <c r="Q21" s="115"/>
    </row>
    <row r="22" spans="1:17" s="118" customFormat="1" ht="229.5">
      <c r="A22" s="115">
        <v>21</v>
      </c>
      <c r="B22" s="115" t="s">
        <v>25</v>
      </c>
      <c r="C22" s="115" t="s">
        <v>25</v>
      </c>
      <c r="D22" s="115" t="s">
        <v>509</v>
      </c>
      <c r="E22" s="115" t="s">
        <v>398</v>
      </c>
      <c r="F22" s="115" t="s">
        <v>110</v>
      </c>
      <c r="G22" s="115" t="s">
        <v>111</v>
      </c>
      <c r="H22" s="115" t="s">
        <v>112</v>
      </c>
      <c r="I22" s="116" t="s">
        <v>113</v>
      </c>
      <c r="J22" s="115">
        <v>38733723635</v>
      </c>
      <c r="K22" s="116" t="s">
        <v>145</v>
      </c>
      <c r="L22" s="115" t="s">
        <v>155</v>
      </c>
      <c r="M22" s="115" t="s">
        <v>156</v>
      </c>
      <c r="N22" s="116" t="s">
        <v>157</v>
      </c>
      <c r="O22" s="116" t="s">
        <v>158</v>
      </c>
      <c r="P22" s="117"/>
      <c r="Q22" s="115"/>
    </row>
    <row r="23" spans="1:17" s="128" customFormat="1" ht="219.75" customHeight="1">
      <c r="A23" s="115">
        <v>22</v>
      </c>
      <c r="B23" s="115" t="s">
        <v>26</v>
      </c>
      <c r="C23" s="124" t="s">
        <v>87</v>
      </c>
      <c r="D23" s="115" t="s">
        <v>509</v>
      </c>
      <c r="E23" s="124" t="s">
        <v>380</v>
      </c>
      <c r="F23" s="124" t="s">
        <v>88</v>
      </c>
      <c r="G23" s="124" t="s">
        <v>89</v>
      </c>
      <c r="H23" s="124" t="s">
        <v>90</v>
      </c>
      <c r="I23" s="125" t="s">
        <v>91</v>
      </c>
      <c r="J23" s="115">
        <v>38733725207</v>
      </c>
      <c r="K23" s="125" t="s">
        <v>92</v>
      </c>
      <c r="L23" s="139" t="s">
        <v>401</v>
      </c>
      <c r="M23" s="141" t="s">
        <v>402</v>
      </c>
      <c r="N23" s="139" t="s">
        <v>403</v>
      </c>
      <c r="O23" s="140" t="s">
        <v>404</v>
      </c>
      <c r="P23" s="124" t="s">
        <v>95</v>
      </c>
      <c r="Q23" s="124" t="s">
        <v>95</v>
      </c>
    </row>
    <row r="24" spans="1:17" s="118" customFormat="1" ht="242.25">
      <c r="A24" s="115">
        <v>23</v>
      </c>
      <c r="B24" s="115" t="s">
        <v>64</v>
      </c>
      <c r="C24" s="115" t="s">
        <v>336</v>
      </c>
      <c r="D24" s="115" t="s">
        <v>509</v>
      </c>
      <c r="E24" s="115"/>
      <c r="F24" s="115" t="s">
        <v>110</v>
      </c>
      <c r="G24" s="115" t="s">
        <v>312</v>
      </c>
      <c r="H24" s="115" t="s">
        <v>313</v>
      </c>
      <c r="I24" s="116" t="s">
        <v>314</v>
      </c>
      <c r="J24" s="115">
        <v>38733777260</v>
      </c>
      <c r="K24" s="116" t="s">
        <v>315</v>
      </c>
      <c r="L24" s="115" t="s">
        <v>337</v>
      </c>
      <c r="M24" s="115" t="s">
        <v>405</v>
      </c>
      <c r="N24" s="115" t="s">
        <v>406</v>
      </c>
      <c r="O24" s="115"/>
      <c r="P24" s="117"/>
      <c r="Q24" s="115" t="s">
        <v>340</v>
      </c>
    </row>
    <row r="25" spans="1:17" s="118" customFormat="1" ht="51">
      <c r="A25" s="115">
        <v>24</v>
      </c>
      <c r="B25" s="115" t="s">
        <v>27</v>
      </c>
      <c r="C25" s="124" t="s">
        <v>203</v>
      </c>
      <c r="D25" s="115" t="s">
        <v>509</v>
      </c>
      <c r="E25" s="124" t="s">
        <v>380</v>
      </c>
      <c r="F25" s="124" t="s">
        <v>88</v>
      </c>
      <c r="G25" s="124" t="s">
        <v>204</v>
      </c>
      <c r="H25" s="124" t="s">
        <v>90</v>
      </c>
      <c r="I25" s="124" t="s">
        <v>91</v>
      </c>
      <c r="J25" s="115">
        <v>38733725207</v>
      </c>
      <c r="K25" s="125" t="s">
        <v>92</v>
      </c>
      <c r="L25" s="124" t="s">
        <v>205</v>
      </c>
      <c r="M25" s="124" t="s">
        <v>206</v>
      </c>
      <c r="N25" s="124" t="s">
        <v>95</v>
      </c>
      <c r="O25" s="124" t="s">
        <v>95</v>
      </c>
      <c r="P25" s="124" t="s">
        <v>95</v>
      </c>
      <c r="Q25" s="124" t="s">
        <v>95</v>
      </c>
    </row>
    <row r="26" spans="1:17" s="118" customFormat="1" ht="140.25">
      <c r="A26" s="115">
        <v>25</v>
      </c>
      <c r="B26" s="115" t="s">
        <v>28</v>
      </c>
      <c r="C26" s="115" t="s">
        <v>117</v>
      </c>
      <c r="D26" s="115" t="s">
        <v>60</v>
      </c>
      <c r="E26" s="115" t="s">
        <v>398</v>
      </c>
      <c r="F26" s="115" t="s">
        <v>110</v>
      </c>
      <c r="G26" s="115" t="s">
        <v>118</v>
      </c>
      <c r="H26" s="115" t="s">
        <v>119</v>
      </c>
      <c r="I26" s="116" t="s">
        <v>120</v>
      </c>
      <c r="J26" s="115">
        <v>38733209044</v>
      </c>
      <c r="K26" s="115" t="s">
        <v>121</v>
      </c>
      <c r="L26" s="115" t="s">
        <v>122</v>
      </c>
      <c r="M26" s="115"/>
      <c r="N26" s="115" t="s">
        <v>123</v>
      </c>
      <c r="O26" s="115"/>
      <c r="P26" s="117"/>
      <c r="Q26" s="115"/>
    </row>
    <row r="27" spans="1:17" s="118" customFormat="1" ht="204">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row>
    <row r="28" spans="1:17" s="118" customFormat="1" ht="409.5">
      <c r="A28" s="115">
        <v>27</v>
      </c>
      <c r="B28" s="115" t="s">
        <v>66</v>
      </c>
      <c r="C28" s="115" t="s">
        <v>322</v>
      </c>
      <c r="D28" s="115" t="s">
        <v>60</v>
      </c>
      <c r="E28" s="115" t="s">
        <v>389</v>
      </c>
      <c r="F28" s="115" t="s">
        <v>110</v>
      </c>
      <c r="G28" s="115" t="s">
        <v>284</v>
      </c>
      <c r="H28" s="115" t="s">
        <v>285</v>
      </c>
      <c r="I28" s="123" t="s">
        <v>323</v>
      </c>
      <c r="J28" s="115">
        <v>38733562379</v>
      </c>
      <c r="K28" s="115" t="s">
        <v>332</v>
      </c>
      <c r="L28" s="115"/>
      <c r="M28" s="115" t="s">
        <v>346</v>
      </c>
      <c r="N28" s="115" t="s">
        <v>347</v>
      </c>
      <c r="O28" s="116" t="s">
        <v>348</v>
      </c>
      <c r="P28" s="117"/>
      <c r="Q28" s="115" t="s">
        <v>328</v>
      </c>
    </row>
    <row r="29" spans="1:17" s="118" customFormat="1" ht="409.5">
      <c r="A29" s="115">
        <v>28</v>
      </c>
      <c r="B29" s="115" t="s">
        <v>67</v>
      </c>
      <c r="C29" s="115" t="s">
        <v>322</v>
      </c>
      <c r="D29" s="115" t="s">
        <v>60</v>
      </c>
      <c r="E29" s="115" t="s">
        <v>407</v>
      </c>
      <c r="F29" s="115" t="s">
        <v>110</v>
      </c>
      <c r="G29" s="115" t="s">
        <v>284</v>
      </c>
      <c r="H29" s="115" t="s">
        <v>285</v>
      </c>
      <c r="I29" s="123" t="s">
        <v>323</v>
      </c>
      <c r="J29" s="115">
        <v>38733562379</v>
      </c>
      <c r="K29" s="115" t="s">
        <v>332</v>
      </c>
      <c r="L29" s="115"/>
      <c r="M29" s="115" t="s">
        <v>346</v>
      </c>
      <c r="N29" s="115" t="s">
        <v>347</v>
      </c>
      <c r="O29" s="116" t="s">
        <v>349</v>
      </c>
      <c r="P29" s="117"/>
      <c r="Q29" s="115" t="s">
        <v>328</v>
      </c>
    </row>
    <row r="30" spans="1:17" s="118" customFormat="1" ht="409.5">
      <c r="A30" s="115">
        <v>29</v>
      </c>
      <c r="B30" s="124" t="s">
        <v>38</v>
      </c>
      <c r="C30" s="115" t="s">
        <v>408</v>
      </c>
      <c r="D30" s="129" t="s">
        <v>51</v>
      </c>
      <c r="E30" s="124" t="s">
        <v>398</v>
      </c>
      <c r="F30" s="124" t="s">
        <v>222</v>
      </c>
      <c r="G30" s="115" t="s">
        <v>409</v>
      </c>
      <c r="H30" s="115"/>
      <c r="I30" s="116"/>
      <c r="J30" s="115" t="s">
        <v>410</v>
      </c>
      <c r="K30" s="116"/>
      <c r="L30" s="115" t="s">
        <v>411</v>
      </c>
      <c r="M30" s="124" t="s">
        <v>227</v>
      </c>
      <c r="N30" s="115" t="s">
        <v>412</v>
      </c>
      <c r="O30" s="116" t="s">
        <v>229</v>
      </c>
      <c r="P30" s="117"/>
      <c r="Q30" s="115"/>
    </row>
    <row r="31" spans="1:17" s="118" customFormat="1" ht="165.75">
      <c r="A31" s="115">
        <v>30</v>
      </c>
      <c r="B31" s="115" t="s">
        <v>70</v>
      </c>
      <c r="C31" s="115" t="s">
        <v>350</v>
      </c>
      <c r="D31" s="115" t="s">
        <v>60</v>
      </c>
      <c r="E31" s="115">
        <v>65</v>
      </c>
      <c r="F31" s="115" t="s">
        <v>88</v>
      </c>
      <c r="G31" s="115" t="s">
        <v>101</v>
      </c>
      <c r="H31" s="115"/>
      <c r="I31" s="115"/>
      <c r="J31" s="115"/>
      <c r="K31" s="115"/>
      <c r="L31" s="115" t="s">
        <v>351</v>
      </c>
      <c r="M31" s="115" t="s">
        <v>352</v>
      </c>
      <c r="N31" s="115" t="s">
        <v>413</v>
      </c>
      <c r="O31" s="115"/>
      <c r="P31" s="117" t="s">
        <v>414</v>
      </c>
      <c r="Q31" s="115" t="s">
        <v>354</v>
      </c>
    </row>
  </sheetData>
  <sortState xmlns:xlrd2="http://schemas.microsoft.com/office/spreadsheetml/2017/richdata2" ref="A2:Q31">
    <sortCondition ref="B2:B31"/>
  </sortState>
  <phoneticPr fontId="4" type="noConversion"/>
  <conditionalFormatting sqref="B1:B1048576">
    <cfRule type="duplicateValues" dxfId="6" priority="1"/>
  </conditionalFormatting>
  <dataValidations count="1">
    <dataValidation type="list" allowBlank="1" showInputMessage="1" showErrorMessage="1" sqref="F27 F13 F15 F17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N29"/>
  <sheetViews>
    <sheetView showGridLines="0" zoomScale="76" zoomScaleNormal="80" workbookViewId="0">
      <pane ySplit="1" topLeftCell="A13" activePane="bottomLeft" state="frozen"/>
      <selection activeCell="B4" sqref="B4"/>
      <selection pane="bottomLeft" activeCell="D19" sqref="D19"/>
    </sheetView>
  </sheetViews>
  <sheetFormatPr defaultColWidth="8.85546875" defaultRowHeight="15"/>
  <cols>
    <col min="1" max="1" width="30.85546875" customWidth="1"/>
    <col min="2" max="2" width="40.42578125" style="147" customWidth="1"/>
    <col min="3" max="3" width="25.42578125" customWidth="1"/>
    <col min="4" max="4" width="19.42578125" customWidth="1"/>
    <col min="5" max="5" width="41.7109375" customWidth="1"/>
    <col min="6" max="6" width="24.42578125" customWidth="1"/>
    <col min="8" max="8" width="14.140625" customWidth="1"/>
    <col min="9" max="9" width="11.28515625" bestFit="1" customWidth="1"/>
    <col min="10" max="10" width="8.85546875" customWidth="1"/>
    <col min="11" max="11" width="42.7109375" customWidth="1"/>
    <col min="12" max="12" width="17.140625" customWidth="1"/>
    <col min="13" max="13" width="28.85546875" customWidth="1"/>
    <col min="14" max="14" width="18.28515625" customWidth="1"/>
  </cols>
  <sheetData>
    <row r="1" spans="1:14" ht="51.6" customHeight="1">
      <c r="A1" s="133" t="s">
        <v>1</v>
      </c>
      <c r="B1" s="142" t="s">
        <v>74</v>
      </c>
      <c r="C1" s="134" t="s">
        <v>75</v>
      </c>
      <c r="D1" s="143" t="s">
        <v>0</v>
      </c>
      <c r="E1" s="133" t="s">
        <v>415</v>
      </c>
      <c r="F1" s="133" t="s">
        <v>76</v>
      </c>
      <c r="G1" s="133" t="s">
        <v>77</v>
      </c>
      <c r="H1" s="133" t="s">
        <v>78</v>
      </c>
      <c r="I1" s="133" t="s">
        <v>79</v>
      </c>
      <c r="J1" s="133" t="s">
        <v>80</v>
      </c>
      <c r="K1" s="133" t="s">
        <v>416</v>
      </c>
      <c r="L1" s="133" t="s">
        <v>82</v>
      </c>
      <c r="M1" s="133" t="s">
        <v>83</v>
      </c>
      <c r="N1" s="133" t="s">
        <v>84</v>
      </c>
    </row>
    <row r="2" spans="1:14" ht="63">
      <c r="A2" s="135" t="s">
        <v>3</v>
      </c>
      <c r="B2" s="135" t="s">
        <v>168</v>
      </c>
      <c r="C2" s="135" t="s">
        <v>88</v>
      </c>
      <c r="D2" s="135" t="s">
        <v>417</v>
      </c>
      <c r="E2" s="135" t="s">
        <v>418</v>
      </c>
      <c r="F2" s="135" t="s">
        <v>169</v>
      </c>
      <c r="G2" s="135" t="s">
        <v>170</v>
      </c>
      <c r="H2" s="86"/>
      <c r="I2" s="144">
        <v>38733285261</v>
      </c>
      <c r="J2" s="86"/>
      <c r="K2" s="135"/>
      <c r="L2" s="135" t="s">
        <v>171</v>
      </c>
      <c r="M2" s="86"/>
      <c r="N2" s="86"/>
    </row>
    <row r="3" spans="1:14" ht="126">
      <c r="A3" s="136" t="s">
        <v>52</v>
      </c>
      <c r="B3" s="136" t="s">
        <v>293</v>
      </c>
      <c r="C3" s="135" t="s">
        <v>222</v>
      </c>
      <c r="D3" s="84" t="s">
        <v>51</v>
      </c>
      <c r="E3" s="135" t="s">
        <v>419</v>
      </c>
      <c r="F3" s="135" t="s">
        <v>294</v>
      </c>
      <c r="G3" s="135" t="s">
        <v>295</v>
      </c>
      <c r="H3" s="86" t="s">
        <v>296</v>
      </c>
      <c r="I3" s="145">
        <v>38733562128</v>
      </c>
      <c r="J3" s="86" t="s">
        <v>297</v>
      </c>
      <c r="K3" s="135" t="s">
        <v>298</v>
      </c>
      <c r="L3" s="136" t="s">
        <v>299</v>
      </c>
      <c r="M3" s="86" t="s">
        <v>300</v>
      </c>
      <c r="N3" s="86" t="s">
        <v>301</v>
      </c>
    </row>
    <row r="4" spans="1:14" ht="168">
      <c r="A4" s="135" t="s">
        <v>420</v>
      </c>
      <c r="B4" s="135" t="s">
        <v>159</v>
      </c>
      <c r="C4" s="135" t="s">
        <v>88</v>
      </c>
      <c r="D4" s="84" t="s">
        <v>421</v>
      </c>
      <c r="E4" s="135"/>
      <c r="F4" s="135" t="s">
        <v>422</v>
      </c>
      <c r="G4" s="135"/>
      <c r="H4" s="86"/>
      <c r="I4" s="135"/>
      <c r="J4" s="86"/>
      <c r="K4" s="135" t="s">
        <v>423</v>
      </c>
      <c r="L4" s="135"/>
      <c r="M4" s="86"/>
      <c r="N4" s="86"/>
    </row>
    <row r="5" spans="1:14" ht="136.5">
      <c r="A5" s="135" t="s">
        <v>6</v>
      </c>
      <c r="B5" s="135" t="s">
        <v>172</v>
      </c>
      <c r="C5" s="135" t="s">
        <v>110</v>
      </c>
      <c r="D5" s="135" t="s">
        <v>417</v>
      </c>
      <c r="E5" s="135" t="s">
        <v>424</v>
      </c>
      <c r="F5" s="135" t="s">
        <v>173</v>
      </c>
      <c r="G5" s="135" t="s">
        <v>174</v>
      </c>
      <c r="H5" s="86" t="s">
        <v>175</v>
      </c>
      <c r="I5" s="145">
        <v>387733637384</v>
      </c>
      <c r="J5" s="86" t="s">
        <v>176</v>
      </c>
      <c r="K5" s="135" t="s">
        <v>177</v>
      </c>
      <c r="L5" s="135" t="s">
        <v>178</v>
      </c>
      <c r="M5" s="135" t="s">
        <v>179</v>
      </c>
      <c r="N5" s="137" t="s">
        <v>180</v>
      </c>
    </row>
    <row r="6" spans="1:14" ht="60">
      <c r="A6" s="135" t="s">
        <v>61</v>
      </c>
      <c r="B6" s="135" t="s">
        <v>355</v>
      </c>
      <c r="C6" s="135" t="s">
        <v>110</v>
      </c>
      <c r="D6" s="84" t="s">
        <v>60</v>
      </c>
      <c r="E6" s="135" t="s">
        <v>425</v>
      </c>
      <c r="F6" s="135" t="s">
        <v>173</v>
      </c>
      <c r="G6" s="135" t="s">
        <v>174</v>
      </c>
      <c r="H6" s="86"/>
      <c r="I6" s="145">
        <v>387733637384</v>
      </c>
      <c r="J6" s="86" t="s">
        <v>176</v>
      </c>
      <c r="K6" s="135" t="s">
        <v>356</v>
      </c>
      <c r="L6" s="135" t="s">
        <v>301</v>
      </c>
      <c r="M6" s="135" t="s">
        <v>301</v>
      </c>
      <c r="N6" s="135" t="s">
        <v>301</v>
      </c>
    </row>
    <row r="7" spans="1:14" ht="60">
      <c r="A7" s="135" t="s">
        <v>7</v>
      </c>
      <c r="B7" s="135" t="s">
        <v>181</v>
      </c>
      <c r="C7" s="135" t="s">
        <v>88</v>
      </c>
      <c r="D7" s="135" t="s">
        <v>417</v>
      </c>
      <c r="E7" s="135" t="s">
        <v>426</v>
      </c>
      <c r="F7" s="135" t="s">
        <v>173</v>
      </c>
      <c r="G7" s="135" t="s">
        <v>174</v>
      </c>
      <c r="H7" s="137" t="s">
        <v>180</v>
      </c>
      <c r="I7" s="145">
        <v>387733637384</v>
      </c>
      <c r="J7" s="86" t="s">
        <v>176</v>
      </c>
      <c r="K7" s="135" t="s">
        <v>182</v>
      </c>
      <c r="L7" s="137" t="s">
        <v>180</v>
      </c>
      <c r="M7" s="137" t="s">
        <v>180</v>
      </c>
      <c r="N7" s="137" t="s">
        <v>180</v>
      </c>
    </row>
    <row r="8" spans="1:14" ht="126">
      <c r="A8" s="135" t="s">
        <v>43</v>
      </c>
      <c r="B8" s="135" t="s">
        <v>275</v>
      </c>
      <c r="C8" s="135" t="s">
        <v>427</v>
      </c>
      <c r="D8" s="135"/>
      <c r="E8" s="135"/>
      <c r="F8" s="135" t="s">
        <v>276</v>
      </c>
      <c r="G8" s="135" t="s">
        <v>277</v>
      </c>
      <c r="H8" s="86"/>
      <c r="I8" s="135"/>
      <c r="J8" s="86"/>
      <c r="K8" s="135"/>
      <c r="L8" s="135" t="s">
        <v>278</v>
      </c>
      <c r="M8" s="135" t="s">
        <v>279</v>
      </c>
      <c r="N8" s="86"/>
    </row>
    <row r="9" spans="1:14" ht="199.5">
      <c r="A9" s="135" t="s">
        <v>44</v>
      </c>
      <c r="B9" s="135" t="s">
        <v>270</v>
      </c>
      <c r="C9" s="135" t="s">
        <v>271</v>
      </c>
      <c r="D9" s="135" t="s">
        <v>428</v>
      </c>
      <c r="E9" s="135" t="s">
        <v>429</v>
      </c>
      <c r="F9" s="135" t="s">
        <v>272</v>
      </c>
      <c r="G9" s="135"/>
      <c r="H9" s="86"/>
      <c r="I9" s="135"/>
      <c r="J9" s="86"/>
      <c r="K9" s="135"/>
      <c r="L9" s="135" t="s">
        <v>273</v>
      </c>
      <c r="M9" s="146" t="s">
        <v>274</v>
      </c>
      <c r="N9" s="86"/>
    </row>
    <row r="10" spans="1:14" ht="42">
      <c r="A10" s="135" t="s">
        <v>12</v>
      </c>
      <c r="B10" s="135" t="s">
        <v>183</v>
      </c>
      <c r="C10" s="135" t="s">
        <v>88</v>
      </c>
      <c r="D10" s="135" t="s">
        <v>417</v>
      </c>
      <c r="E10" s="135" t="s">
        <v>418</v>
      </c>
      <c r="F10" s="135" t="s">
        <v>184</v>
      </c>
      <c r="G10" s="135"/>
      <c r="H10" s="86"/>
      <c r="I10" s="135"/>
      <c r="J10" s="86"/>
      <c r="K10" s="135"/>
      <c r="L10" s="135"/>
      <c r="M10" s="86"/>
      <c r="N10" s="86"/>
    </row>
    <row r="11" spans="1:14" ht="180">
      <c r="A11" s="135" t="s">
        <v>13</v>
      </c>
      <c r="B11" s="135" t="s">
        <v>185</v>
      </c>
      <c r="C11" s="135" t="s">
        <v>427</v>
      </c>
      <c r="D11" s="135" t="s">
        <v>417</v>
      </c>
      <c r="E11" s="135"/>
      <c r="F11" s="135" t="s">
        <v>187</v>
      </c>
      <c r="G11" s="135" t="s">
        <v>188</v>
      </c>
      <c r="H11" s="86" t="s">
        <v>189</v>
      </c>
      <c r="I11" s="144">
        <v>38733653093</v>
      </c>
      <c r="J11" s="86"/>
      <c r="K11" s="135"/>
      <c r="L11" s="135"/>
      <c r="M11" s="135"/>
      <c r="N11" s="86"/>
    </row>
    <row r="12" spans="1:14" ht="105">
      <c r="A12" s="135" t="s">
        <v>364</v>
      </c>
      <c r="B12" s="135" t="s">
        <v>190</v>
      </c>
      <c r="C12" s="135" t="s">
        <v>191</v>
      </c>
      <c r="D12" s="135" t="s">
        <v>417</v>
      </c>
      <c r="E12" s="135"/>
      <c r="F12" s="135" t="s">
        <v>192</v>
      </c>
      <c r="G12" s="135"/>
      <c r="H12" s="86"/>
      <c r="I12" s="135"/>
      <c r="J12" s="86"/>
      <c r="K12" s="135" t="s">
        <v>430</v>
      </c>
      <c r="L12" s="135"/>
      <c r="M12" s="135" t="s">
        <v>194</v>
      </c>
      <c r="N12" s="86"/>
    </row>
    <row r="13" spans="1:14" ht="229.5">
      <c r="A13" s="119" t="s">
        <v>431</v>
      </c>
      <c r="B13" s="119" t="s">
        <v>432</v>
      </c>
      <c r="C13" s="135" t="s">
        <v>88</v>
      </c>
      <c r="D13" s="135" t="s">
        <v>417</v>
      </c>
      <c r="E13" s="135"/>
      <c r="F13" s="115" t="s">
        <v>97</v>
      </c>
      <c r="G13" s="115" t="s">
        <v>433</v>
      </c>
      <c r="H13" s="125" t="s">
        <v>91</v>
      </c>
      <c r="I13" s="115">
        <v>38733725207</v>
      </c>
      <c r="J13" s="86" t="s">
        <v>92</v>
      </c>
      <c r="K13" s="135"/>
      <c r="L13" s="119" t="s">
        <v>434</v>
      </c>
      <c r="M13" s="86"/>
      <c r="N13" s="86"/>
    </row>
    <row r="14" spans="1:14" ht="42">
      <c r="A14" s="135" t="s">
        <v>45</v>
      </c>
      <c r="B14" s="135"/>
      <c r="C14" s="135" t="s">
        <v>271</v>
      </c>
      <c r="D14" s="135" t="s">
        <v>417</v>
      </c>
      <c r="E14" s="135"/>
      <c r="F14" s="135"/>
      <c r="G14" s="135"/>
      <c r="H14" s="86"/>
      <c r="I14" s="135"/>
      <c r="J14" s="86"/>
      <c r="K14" s="86" t="s">
        <v>280</v>
      </c>
      <c r="L14" s="135"/>
      <c r="M14" s="86"/>
      <c r="N14" s="86"/>
    </row>
    <row r="15" spans="1:14" ht="126">
      <c r="A15" s="135" t="s">
        <v>55</v>
      </c>
      <c r="B15" s="135" t="s">
        <v>302</v>
      </c>
      <c r="C15" s="135" t="s">
        <v>222</v>
      </c>
      <c r="D15" s="84" t="s">
        <v>51</v>
      </c>
      <c r="L15" s="136" t="s">
        <v>299</v>
      </c>
    </row>
    <row r="16" spans="1:14" ht="99" customHeight="1">
      <c r="A16" s="135" t="s">
        <v>56</v>
      </c>
      <c r="B16" s="136" t="s">
        <v>303</v>
      </c>
      <c r="C16" s="135" t="s">
        <v>222</v>
      </c>
      <c r="D16" s="84" t="s">
        <v>51</v>
      </c>
      <c r="E16" s="135" t="s">
        <v>419</v>
      </c>
      <c r="F16" s="135" t="s">
        <v>294</v>
      </c>
      <c r="G16" s="135" t="s">
        <v>304</v>
      </c>
      <c r="H16" s="86" t="s">
        <v>296</v>
      </c>
      <c r="I16" s="145">
        <v>38733562128</v>
      </c>
      <c r="J16" s="86" t="s">
        <v>297</v>
      </c>
      <c r="K16" s="135" t="s">
        <v>298</v>
      </c>
      <c r="L16" s="136" t="s">
        <v>299</v>
      </c>
      <c r="M16" s="86" t="s">
        <v>300</v>
      </c>
      <c r="N16" s="86" t="s">
        <v>301</v>
      </c>
    </row>
    <row r="17" spans="1:14" ht="135">
      <c r="A17" s="135" t="s">
        <v>36</v>
      </c>
      <c r="B17" s="135" t="s">
        <v>232</v>
      </c>
      <c r="C17" s="135" t="s">
        <v>88</v>
      </c>
      <c r="D17" s="84" t="s">
        <v>435</v>
      </c>
      <c r="E17" s="135" t="s">
        <v>418</v>
      </c>
      <c r="F17" s="135" t="s">
        <v>233</v>
      </c>
      <c r="G17" s="135" t="s">
        <v>234</v>
      </c>
      <c r="H17" s="86" t="s">
        <v>235</v>
      </c>
      <c r="I17" s="144">
        <v>38733214249</v>
      </c>
      <c r="J17" s="86"/>
      <c r="K17" s="135"/>
      <c r="L17" s="135"/>
      <c r="M17" s="86" t="s">
        <v>235</v>
      </c>
      <c r="N17" s="86" t="s">
        <v>235</v>
      </c>
    </row>
    <row r="18" spans="1:14" ht="73.5">
      <c r="A18" s="135" t="s">
        <v>37</v>
      </c>
      <c r="B18" s="135" t="s">
        <v>230</v>
      </c>
      <c r="C18" s="135" t="s">
        <v>222</v>
      </c>
      <c r="D18" s="135" t="s">
        <v>33</v>
      </c>
      <c r="E18" s="135" t="s">
        <v>419</v>
      </c>
      <c r="F18" s="135" t="s">
        <v>231</v>
      </c>
      <c r="G18" s="135"/>
    </row>
    <row r="19" spans="1:14" ht="52.5">
      <c r="A19" s="135" t="s">
        <v>31</v>
      </c>
      <c r="B19" s="135" t="s">
        <v>163</v>
      </c>
      <c r="C19" s="135" t="s">
        <v>110</v>
      </c>
      <c r="D19" s="84" t="s">
        <v>421</v>
      </c>
      <c r="E19" s="135" t="s">
        <v>437</v>
      </c>
      <c r="F19" s="135" t="s">
        <v>164</v>
      </c>
      <c r="G19" s="135"/>
      <c r="H19" s="86"/>
      <c r="I19" s="135"/>
      <c r="J19" s="86"/>
      <c r="K19" s="135"/>
      <c r="L19" s="135"/>
      <c r="M19" s="86"/>
      <c r="N19" s="86"/>
    </row>
    <row r="20" spans="1:14">
      <c r="D20" s="135"/>
    </row>
    <row r="21" spans="1:14">
      <c r="D21" s="135"/>
    </row>
    <row r="22" spans="1:14">
      <c r="D22" s="135"/>
    </row>
    <row r="23" spans="1:14">
      <c r="D23" s="135"/>
    </row>
    <row r="24" spans="1:14">
      <c r="D24" s="135"/>
    </row>
    <row r="25" spans="1:14">
      <c r="D25" s="135"/>
    </row>
    <row r="26" spans="1:14">
      <c r="D26" s="135"/>
    </row>
    <row r="27" spans="1:14">
      <c r="D27" s="135"/>
    </row>
    <row r="28" spans="1:14">
      <c r="D28" s="135"/>
    </row>
    <row r="29" spans="1:14">
      <c r="D29" s="135"/>
    </row>
  </sheetData>
  <autoFilter ref="O1:O29" xr:uid="{B8EE97C4-5CE4-4386-BABA-CA4D0DFA0DEA}"/>
  <sortState xmlns:xlrd2="http://schemas.microsoft.com/office/spreadsheetml/2017/richdata2" ref="A2:N19">
    <sortCondition ref="A17:A19"/>
  </sortState>
  <conditionalFormatting sqref="A1:A1048576">
    <cfRule type="duplicateValues" dxfId="5"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tabSelected="1" zoomScale="85" workbookViewId="0">
      <pane ySplit="1" topLeftCell="A5" activePane="bottomLeft" state="frozen"/>
      <selection activeCell="B4" sqref="B4"/>
      <selection pane="bottomLeft" activeCell="C5" sqref="C5"/>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33" t="s">
        <v>1</v>
      </c>
      <c r="B1" s="133" t="s">
        <v>74</v>
      </c>
      <c r="C1" s="134" t="s">
        <v>0</v>
      </c>
      <c r="D1" s="133" t="s">
        <v>81</v>
      </c>
      <c r="E1" s="133" t="s">
        <v>438</v>
      </c>
      <c r="F1" s="133" t="s">
        <v>78</v>
      </c>
    </row>
    <row r="2" spans="1:6" ht="84">
      <c r="A2" s="135" t="s">
        <v>54</v>
      </c>
      <c r="B2" s="135" t="s">
        <v>305</v>
      </c>
      <c r="C2" s="135" t="s">
        <v>51</v>
      </c>
      <c r="D2" s="135" t="s">
        <v>506</v>
      </c>
      <c r="E2" s="135" t="s">
        <v>306</v>
      </c>
      <c r="F2" s="86"/>
    </row>
    <row r="3" spans="1:6" ht="178.5">
      <c r="A3" s="135" t="s">
        <v>16</v>
      </c>
      <c r="B3" s="135" t="s">
        <v>195</v>
      </c>
      <c r="C3" s="135" t="s">
        <v>461</v>
      </c>
      <c r="D3" s="135" t="s">
        <v>506</v>
      </c>
      <c r="E3" s="135" t="s">
        <v>197</v>
      </c>
      <c r="F3" s="116" t="s">
        <v>314</v>
      </c>
    </row>
    <row r="4" spans="1:6" ht="336">
      <c r="A4" s="135" t="s">
        <v>19</v>
      </c>
      <c r="B4" s="135" t="s">
        <v>165</v>
      </c>
      <c r="C4" s="135" t="s">
        <v>512</v>
      </c>
      <c r="D4" s="135" t="s">
        <v>441</v>
      </c>
      <c r="E4" s="135" t="s">
        <v>166</v>
      </c>
    </row>
    <row r="5" spans="1:6" ht="189">
      <c r="A5" s="135" t="s">
        <v>57</v>
      </c>
      <c r="B5" s="135" t="s">
        <v>307</v>
      </c>
      <c r="C5" s="135" t="s">
        <v>51</v>
      </c>
      <c r="D5" s="135" t="s">
        <v>506</v>
      </c>
      <c r="E5" s="135" t="s">
        <v>308</v>
      </c>
      <c r="F5" s="135"/>
    </row>
    <row r="6" spans="1:6" ht="304.5">
      <c r="A6" s="135" t="s">
        <v>48</v>
      </c>
      <c r="B6" s="135" t="s">
        <v>251</v>
      </c>
      <c r="C6" s="135" t="s">
        <v>40</v>
      </c>
      <c r="D6" s="135" t="s">
        <v>442</v>
      </c>
      <c r="E6" s="135" t="s">
        <v>252</v>
      </c>
      <c r="F6" s="86"/>
    </row>
    <row r="7" spans="1:6" ht="273">
      <c r="A7" s="135" t="s">
        <v>58</v>
      </c>
      <c r="B7" s="135" t="s">
        <v>309</v>
      </c>
      <c r="C7" s="135" t="s">
        <v>51</v>
      </c>
      <c r="D7" s="135" t="s">
        <v>506</v>
      </c>
      <c r="E7" s="135" t="s">
        <v>310</v>
      </c>
      <c r="F7" s="86"/>
    </row>
    <row r="8" spans="1:6" ht="210">
      <c r="A8" s="135" t="s">
        <v>49</v>
      </c>
      <c r="B8" s="135" t="s">
        <v>253</v>
      </c>
      <c r="C8" s="135" t="s">
        <v>40</v>
      </c>
      <c r="D8" s="135" t="s">
        <v>507</v>
      </c>
      <c r="E8" s="135" t="s">
        <v>254</v>
      </c>
      <c r="F8" s="135"/>
    </row>
    <row r="9" spans="1:6" ht="105">
      <c r="A9" s="135" t="s">
        <v>22</v>
      </c>
      <c r="B9" s="135" t="s">
        <v>198</v>
      </c>
      <c r="C9" s="135" t="s">
        <v>417</v>
      </c>
      <c r="D9" s="135" t="s">
        <v>444</v>
      </c>
      <c r="E9" s="135" t="s">
        <v>200</v>
      </c>
      <c r="F9" s="135"/>
    </row>
    <row r="10" spans="1:6" ht="115.5">
      <c r="A10" s="136" t="s">
        <v>23</v>
      </c>
      <c r="B10" s="136" t="s">
        <v>201</v>
      </c>
      <c r="C10" s="135" t="s">
        <v>417</v>
      </c>
      <c r="D10" s="135" t="s">
        <v>444</v>
      </c>
      <c r="E10" s="135" t="s">
        <v>202</v>
      </c>
      <c r="F10" s="135"/>
    </row>
    <row r="11" spans="1:6" ht="63">
      <c r="A11" s="135" t="s">
        <v>24</v>
      </c>
      <c r="B11" s="135"/>
      <c r="C11" s="135" t="s">
        <v>417</v>
      </c>
      <c r="D11" s="135"/>
      <c r="E11" s="135"/>
      <c r="F11" s="86"/>
    </row>
  </sheetData>
  <sortState xmlns:xlrd2="http://schemas.microsoft.com/office/spreadsheetml/2017/richdata2" ref="A2:F11">
    <sortCondition ref="A6:A11"/>
  </sortState>
  <conditionalFormatting sqref="A2:A11">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161" zoomScaleNormal="100" workbookViewId="0">
      <pane xSplit="1" ySplit="1" topLeftCell="C7" activePane="bottomRight" state="frozen"/>
      <selection pane="topRight" activeCell="B1" sqref="B1"/>
      <selection pane="bottomLeft" activeCell="A2" sqref="A2"/>
      <selection pane="bottomRight" activeCell="C7" sqref="C7"/>
    </sheetView>
  </sheetViews>
  <sheetFormatPr defaultRowHeight="15"/>
  <cols>
    <col min="1" max="1" width="11.28515625" customWidth="1"/>
    <col min="2" max="2" width="26.42578125" customWidth="1"/>
    <col min="3" max="3" width="28.28515625" customWidth="1"/>
    <col min="4" max="4" width="25.42578125" customWidth="1"/>
    <col min="5" max="5" width="64.140625" bestFit="1" customWidth="1"/>
  </cols>
  <sheetData>
    <row r="1" spans="1:6">
      <c r="A1" t="s">
        <v>445</v>
      </c>
      <c r="B1" t="s">
        <v>446</v>
      </c>
      <c r="C1" t="s">
        <v>447</v>
      </c>
      <c r="D1" t="s">
        <v>448</v>
      </c>
      <c r="E1" t="s">
        <v>449</v>
      </c>
      <c r="F1" t="s">
        <v>450</v>
      </c>
    </row>
    <row r="2" spans="1:6">
      <c r="A2" t="s">
        <v>451</v>
      </c>
      <c r="B2" t="s">
        <v>68</v>
      </c>
      <c r="C2" t="s">
        <v>311</v>
      </c>
      <c r="D2" t="s">
        <v>60</v>
      </c>
      <c r="E2" t="s">
        <v>110</v>
      </c>
      <c r="F2" t="s">
        <v>312</v>
      </c>
    </row>
    <row r="3" spans="1:6" hidden="1">
      <c r="A3" t="s">
        <v>451</v>
      </c>
      <c r="B3" t="s">
        <v>38</v>
      </c>
      <c r="C3" t="s">
        <v>221</v>
      </c>
      <c r="D3" t="s">
        <v>51</v>
      </c>
      <c r="E3" t="s">
        <v>222</v>
      </c>
      <c r="F3" t="s">
        <v>452</v>
      </c>
    </row>
    <row r="4" spans="1:6" hidden="1">
      <c r="A4" t="s">
        <v>451</v>
      </c>
      <c r="B4" s="87" t="s">
        <v>453</v>
      </c>
      <c r="C4" t="s">
        <v>255</v>
      </c>
      <c r="D4" t="s">
        <v>373</v>
      </c>
      <c r="E4" t="s">
        <v>110</v>
      </c>
      <c r="F4" t="s">
        <v>256</v>
      </c>
    </row>
    <row r="5" spans="1:6" hidden="1">
      <c r="A5" t="s">
        <v>454</v>
      </c>
      <c r="B5" t="s">
        <v>37</v>
      </c>
      <c r="C5" t="s">
        <v>230</v>
      </c>
      <c r="D5" t="s">
        <v>436</v>
      </c>
      <c r="E5" t="s">
        <v>222</v>
      </c>
      <c r="F5" t="s">
        <v>231</v>
      </c>
    </row>
    <row r="6" spans="1:6">
      <c r="A6" t="s">
        <v>451</v>
      </c>
      <c r="B6" t="s">
        <v>69</v>
      </c>
      <c r="C6" t="s">
        <v>319</v>
      </c>
      <c r="D6" t="s">
        <v>60</v>
      </c>
      <c r="E6" t="s">
        <v>110</v>
      </c>
      <c r="F6" t="s">
        <v>312</v>
      </c>
    </row>
    <row r="7" spans="1:6">
      <c r="A7" t="s">
        <v>451</v>
      </c>
      <c r="B7" t="s">
        <v>62</v>
      </c>
      <c r="C7" t="s">
        <v>322</v>
      </c>
      <c r="D7" t="s">
        <v>60</v>
      </c>
      <c r="E7" t="s">
        <v>110</v>
      </c>
      <c r="F7" t="s">
        <v>452</v>
      </c>
    </row>
    <row r="8" spans="1:6" hidden="1">
      <c r="A8" t="s">
        <v>454</v>
      </c>
      <c r="B8" s="87" t="s">
        <v>455</v>
      </c>
      <c r="C8" t="s">
        <v>190</v>
      </c>
      <c r="D8" t="s">
        <v>417</v>
      </c>
      <c r="E8" t="s">
        <v>191</v>
      </c>
      <c r="F8" s="87" t="s">
        <v>456</v>
      </c>
    </row>
    <row r="9" spans="1:6" hidden="1">
      <c r="A9" t="s">
        <v>454</v>
      </c>
      <c r="B9" t="s">
        <v>45</v>
      </c>
      <c r="D9" t="s">
        <v>417</v>
      </c>
      <c r="E9" t="s">
        <v>271</v>
      </c>
      <c r="F9" t="s">
        <v>457</v>
      </c>
    </row>
    <row r="10" spans="1:6" hidden="1">
      <c r="A10" t="s">
        <v>451</v>
      </c>
      <c r="B10" s="87" t="s">
        <v>458</v>
      </c>
      <c r="C10" t="s">
        <v>378</v>
      </c>
      <c r="D10" t="s">
        <v>379</v>
      </c>
      <c r="E10" t="s">
        <v>110</v>
      </c>
      <c r="F10" t="s">
        <v>452</v>
      </c>
    </row>
    <row r="11" spans="1:6" hidden="1">
      <c r="A11" t="s">
        <v>451</v>
      </c>
      <c r="B11" t="s">
        <v>42</v>
      </c>
      <c r="C11" t="s">
        <v>263</v>
      </c>
      <c r="D11" t="s">
        <v>373</v>
      </c>
      <c r="E11" t="s">
        <v>88</v>
      </c>
      <c r="F11" t="s">
        <v>264</v>
      </c>
    </row>
    <row r="12" spans="1:6" hidden="1">
      <c r="A12" t="s">
        <v>451</v>
      </c>
      <c r="B12" s="87" t="s">
        <v>459</v>
      </c>
      <c r="C12" t="s">
        <v>109</v>
      </c>
      <c r="D12" t="s">
        <v>399</v>
      </c>
      <c r="E12" t="s">
        <v>110</v>
      </c>
      <c r="F12" t="s">
        <v>111</v>
      </c>
    </row>
    <row r="13" spans="1:6" hidden="1">
      <c r="A13" t="s">
        <v>451</v>
      </c>
      <c r="B13" t="s">
        <v>17</v>
      </c>
      <c r="C13" t="s">
        <v>144</v>
      </c>
      <c r="D13" t="s">
        <v>379</v>
      </c>
      <c r="E13" t="s">
        <v>110</v>
      </c>
      <c r="F13" t="s">
        <v>111</v>
      </c>
    </row>
    <row r="14" spans="1:6" hidden="1">
      <c r="A14" t="s">
        <v>451</v>
      </c>
      <c r="B14" t="s">
        <v>20</v>
      </c>
      <c r="C14" t="s">
        <v>149</v>
      </c>
      <c r="D14" t="s">
        <v>379</v>
      </c>
      <c r="E14" t="s">
        <v>110</v>
      </c>
      <c r="F14" t="s">
        <v>111</v>
      </c>
    </row>
    <row r="15" spans="1:6" hidden="1">
      <c r="A15" t="s">
        <v>451</v>
      </c>
      <c r="B15" t="s">
        <v>53</v>
      </c>
      <c r="C15" t="s">
        <v>281</v>
      </c>
      <c r="D15" t="s">
        <v>51</v>
      </c>
      <c r="E15" t="s">
        <v>110</v>
      </c>
      <c r="F15" t="s">
        <v>111</v>
      </c>
    </row>
    <row r="16" spans="1:6" hidden="1">
      <c r="A16" t="s">
        <v>451</v>
      </c>
      <c r="B16" t="s">
        <v>21</v>
      </c>
      <c r="C16" t="s">
        <v>152</v>
      </c>
      <c r="D16" t="s">
        <v>379</v>
      </c>
      <c r="E16" t="s">
        <v>110</v>
      </c>
      <c r="F16" t="s">
        <v>111</v>
      </c>
    </row>
    <row r="17" spans="1:6">
      <c r="A17" t="s">
        <v>451</v>
      </c>
      <c r="B17" t="s">
        <v>63</v>
      </c>
      <c r="C17" t="s">
        <v>329</v>
      </c>
      <c r="D17" t="s">
        <v>60</v>
      </c>
      <c r="E17" t="s">
        <v>110</v>
      </c>
      <c r="F17" t="s">
        <v>111</v>
      </c>
    </row>
    <row r="18" spans="1:6">
      <c r="A18" t="s">
        <v>451</v>
      </c>
      <c r="B18" t="s">
        <v>63</v>
      </c>
      <c r="C18" t="s">
        <v>329</v>
      </c>
      <c r="D18" t="s">
        <v>60</v>
      </c>
      <c r="E18" t="s">
        <v>110</v>
      </c>
      <c r="F18" t="s">
        <v>452</v>
      </c>
    </row>
    <row r="19" spans="1:6" hidden="1">
      <c r="A19" t="s">
        <v>451</v>
      </c>
      <c r="B19" t="s">
        <v>46</v>
      </c>
      <c r="C19" t="s">
        <v>236</v>
      </c>
      <c r="D19" t="s">
        <v>40</v>
      </c>
      <c r="E19" t="s">
        <v>110</v>
      </c>
      <c r="F19" t="s">
        <v>111</v>
      </c>
    </row>
    <row r="20" spans="1:6" hidden="1">
      <c r="A20" t="s">
        <v>451</v>
      </c>
      <c r="B20" t="s">
        <v>47</v>
      </c>
      <c r="C20" t="s">
        <v>241</v>
      </c>
      <c r="D20" t="s">
        <v>40</v>
      </c>
      <c r="E20" t="s">
        <v>222</v>
      </c>
      <c r="F20" t="s">
        <v>242</v>
      </c>
    </row>
    <row r="21" spans="1:6" hidden="1">
      <c r="A21" t="s">
        <v>451</v>
      </c>
      <c r="B21" t="s">
        <v>25</v>
      </c>
      <c r="C21" t="s">
        <v>25</v>
      </c>
      <c r="D21" t="s">
        <v>379</v>
      </c>
      <c r="E21" t="s">
        <v>110</v>
      </c>
      <c r="F21" t="s">
        <v>111</v>
      </c>
    </row>
    <row r="22" spans="1:6">
      <c r="A22" t="s">
        <v>451</v>
      </c>
      <c r="B22" t="s">
        <v>64</v>
      </c>
      <c r="C22" t="s">
        <v>336</v>
      </c>
      <c r="D22" t="s">
        <v>60</v>
      </c>
      <c r="E22" t="s">
        <v>110</v>
      </c>
      <c r="F22" t="s">
        <v>312</v>
      </c>
    </row>
    <row r="23" spans="1:6" hidden="1">
      <c r="A23" t="s">
        <v>451</v>
      </c>
      <c r="B23" s="88" t="s">
        <v>28</v>
      </c>
      <c r="C23" t="s">
        <v>117</v>
      </c>
      <c r="D23" t="s">
        <v>399</v>
      </c>
      <c r="E23" t="s">
        <v>110</v>
      </c>
      <c r="F23" t="s">
        <v>118</v>
      </c>
    </row>
    <row r="24" spans="1:6" hidden="1">
      <c r="A24" t="s">
        <v>454</v>
      </c>
      <c r="B24" t="s">
        <v>458</v>
      </c>
      <c r="C24" t="s">
        <v>172</v>
      </c>
      <c r="D24" t="s">
        <v>417</v>
      </c>
      <c r="E24" t="s">
        <v>110</v>
      </c>
      <c r="F24" t="s">
        <v>452</v>
      </c>
    </row>
    <row r="25" spans="1:6" hidden="1">
      <c r="A25" t="s">
        <v>454</v>
      </c>
      <c r="B25" t="s">
        <v>18</v>
      </c>
      <c r="D25" t="s">
        <v>2</v>
      </c>
      <c r="E25" t="s">
        <v>110</v>
      </c>
      <c r="F25" t="s">
        <v>97</v>
      </c>
    </row>
    <row r="26" spans="1:6" hidden="1">
      <c r="A26" t="s">
        <v>454</v>
      </c>
      <c r="B26" t="s">
        <v>31</v>
      </c>
      <c r="C26" t="s">
        <v>163</v>
      </c>
      <c r="D26" t="s">
        <v>421</v>
      </c>
      <c r="E26" t="s">
        <v>110</v>
      </c>
      <c r="F26" t="s">
        <v>452</v>
      </c>
    </row>
    <row r="27" spans="1:6" hidden="1">
      <c r="A27" t="s">
        <v>460</v>
      </c>
      <c r="B27" t="s">
        <v>16</v>
      </c>
      <c r="C27" t="s">
        <v>195</v>
      </c>
      <c r="D27" t="s">
        <v>461</v>
      </c>
      <c r="E27" t="s">
        <v>110</v>
      </c>
    </row>
    <row r="28" spans="1:6">
      <c r="A28" t="s">
        <v>451</v>
      </c>
      <c r="B28" t="s">
        <v>65</v>
      </c>
      <c r="C28" t="s">
        <v>341</v>
      </c>
      <c r="D28" t="s">
        <v>60</v>
      </c>
      <c r="E28" t="s">
        <v>110</v>
      </c>
      <c r="F28" t="s">
        <v>312</v>
      </c>
    </row>
    <row r="29" spans="1:6">
      <c r="A29" t="s">
        <v>451</v>
      </c>
      <c r="B29" t="s">
        <v>66</v>
      </c>
      <c r="C29" t="s">
        <v>322</v>
      </c>
      <c r="D29" t="s">
        <v>60</v>
      </c>
      <c r="E29" t="s">
        <v>110</v>
      </c>
      <c r="F29" t="s">
        <v>452</v>
      </c>
    </row>
    <row r="30" spans="1:6">
      <c r="A30" t="s">
        <v>451</v>
      </c>
      <c r="B30" t="s">
        <v>67</v>
      </c>
      <c r="C30" t="s">
        <v>322</v>
      </c>
      <c r="D30" t="s">
        <v>60</v>
      </c>
      <c r="E30" t="s">
        <v>110</v>
      </c>
      <c r="F30" t="s">
        <v>452</v>
      </c>
    </row>
    <row r="31" spans="1:6" hidden="1">
      <c r="A31" t="s">
        <v>460</v>
      </c>
      <c r="B31" s="87" t="s">
        <v>462</v>
      </c>
      <c r="C31" t="s">
        <v>165</v>
      </c>
      <c r="D31" t="s">
        <v>440</v>
      </c>
      <c r="E31" t="s">
        <v>110</v>
      </c>
    </row>
    <row r="32" spans="1:6">
      <c r="A32" t="s">
        <v>451</v>
      </c>
      <c r="B32" t="s">
        <v>70</v>
      </c>
      <c r="C32" t="s">
        <v>350</v>
      </c>
      <c r="D32" t="s">
        <v>60</v>
      </c>
      <c r="E32" t="s">
        <v>88</v>
      </c>
      <c r="F32" t="s">
        <v>452</v>
      </c>
    </row>
    <row r="33" spans="1:6" hidden="1">
      <c r="A33" t="s">
        <v>460</v>
      </c>
      <c r="B33" t="s">
        <v>22</v>
      </c>
      <c r="C33" t="s">
        <v>198</v>
      </c>
      <c r="D33" t="s">
        <v>417</v>
      </c>
      <c r="E33" t="s">
        <v>110</v>
      </c>
    </row>
    <row r="34" spans="1:6" hidden="1">
      <c r="A34" t="s">
        <v>454</v>
      </c>
      <c r="B34" t="s">
        <v>52</v>
      </c>
      <c r="C34" t="s">
        <v>293</v>
      </c>
      <c r="D34" t="s">
        <v>51</v>
      </c>
      <c r="E34" t="s">
        <v>222</v>
      </c>
      <c r="F34" t="s">
        <v>294</v>
      </c>
    </row>
    <row r="35" spans="1:6" hidden="1">
      <c r="A35" t="s">
        <v>460</v>
      </c>
      <c r="B35" t="s">
        <v>23</v>
      </c>
      <c r="C35" t="s">
        <v>201</v>
      </c>
      <c r="D35" t="s">
        <v>417</v>
      </c>
      <c r="E35" t="s">
        <v>110</v>
      </c>
    </row>
    <row r="36" spans="1:6" hidden="1">
      <c r="A36" t="s">
        <v>454</v>
      </c>
      <c r="B36" t="s">
        <v>43</v>
      </c>
      <c r="C36" t="s">
        <v>275</v>
      </c>
      <c r="E36" t="s">
        <v>427</v>
      </c>
      <c r="F36" t="s">
        <v>463</v>
      </c>
    </row>
    <row r="37" spans="1:6">
      <c r="A37" t="s">
        <v>454</v>
      </c>
      <c r="B37" t="s">
        <v>61</v>
      </c>
      <c r="C37" t="s">
        <v>355</v>
      </c>
      <c r="D37" t="s">
        <v>60</v>
      </c>
      <c r="E37" t="s">
        <v>110</v>
      </c>
      <c r="F37" t="s">
        <v>452</v>
      </c>
    </row>
    <row r="38" spans="1:6" hidden="1">
      <c r="A38" t="s">
        <v>454</v>
      </c>
      <c r="B38" t="s">
        <v>13</v>
      </c>
      <c r="C38" t="s">
        <v>185</v>
      </c>
      <c r="D38" t="s">
        <v>417</v>
      </c>
      <c r="E38" t="s">
        <v>427</v>
      </c>
      <c r="F38" t="s">
        <v>187</v>
      </c>
    </row>
    <row r="39" spans="1:6" hidden="1">
      <c r="A39" t="s">
        <v>451</v>
      </c>
      <c r="B39" s="87" t="s">
        <v>464</v>
      </c>
      <c r="C39" t="s">
        <v>99</v>
      </c>
      <c r="D39" t="s">
        <v>373</v>
      </c>
      <c r="E39" t="s">
        <v>100</v>
      </c>
      <c r="F39" t="s">
        <v>101</v>
      </c>
    </row>
    <row r="40" spans="1:6" hidden="1">
      <c r="A40" t="s">
        <v>454</v>
      </c>
      <c r="B40" s="87" t="s">
        <v>465</v>
      </c>
      <c r="C40" t="s">
        <v>270</v>
      </c>
      <c r="D40" t="s">
        <v>428</v>
      </c>
      <c r="E40" t="s">
        <v>271</v>
      </c>
      <c r="F40" t="s">
        <v>272</v>
      </c>
    </row>
    <row r="41" spans="1:6" hidden="1">
      <c r="A41" t="s">
        <v>451</v>
      </c>
      <c r="B41" t="s">
        <v>8</v>
      </c>
      <c r="C41" t="s">
        <v>134</v>
      </c>
      <c r="D41" t="s">
        <v>379</v>
      </c>
      <c r="E41" t="s">
        <v>88</v>
      </c>
      <c r="F41" t="s">
        <v>135</v>
      </c>
    </row>
    <row r="42" spans="1:6" hidden="1">
      <c r="A42" t="s">
        <v>451</v>
      </c>
      <c r="B42" t="s">
        <v>9</v>
      </c>
      <c r="C42" t="s">
        <v>138</v>
      </c>
      <c r="D42" t="s">
        <v>379</v>
      </c>
      <c r="E42" t="s">
        <v>88</v>
      </c>
      <c r="F42" t="s">
        <v>89</v>
      </c>
    </row>
    <row r="43" spans="1:6" hidden="1">
      <c r="A43" t="s">
        <v>451</v>
      </c>
      <c r="B43" t="s">
        <v>10</v>
      </c>
      <c r="C43" t="s">
        <v>141</v>
      </c>
      <c r="D43" t="s">
        <v>379</v>
      </c>
      <c r="E43" t="s">
        <v>88</v>
      </c>
      <c r="F43" t="s">
        <v>89</v>
      </c>
    </row>
    <row r="44" spans="1:6" hidden="1">
      <c r="A44" t="s">
        <v>451</v>
      </c>
      <c r="B44" t="s">
        <v>34</v>
      </c>
      <c r="C44" t="s">
        <v>208</v>
      </c>
      <c r="D44" t="s">
        <v>394</v>
      </c>
      <c r="E44" t="s">
        <v>88</v>
      </c>
      <c r="F44" t="s">
        <v>89</v>
      </c>
    </row>
    <row r="45" spans="1:6" hidden="1">
      <c r="A45" t="s">
        <v>451</v>
      </c>
      <c r="B45" t="s">
        <v>35</v>
      </c>
      <c r="C45" t="s">
        <v>211</v>
      </c>
      <c r="D45" t="s">
        <v>394</v>
      </c>
      <c r="E45" t="s">
        <v>88</v>
      </c>
      <c r="F45" t="s">
        <v>452</v>
      </c>
    </row>
    <row r="46" spans="1:6" hidden="1">
      <c r="A46" t="s">
        <v>454</v>
      </c>
      <c r="B46" s="87" t="s">
        <v>466</v>
      </c>
      <c r="C46" t="s">
        <v>302</v>
      </c>
      <c r="D46" t="s">
        <v>51</v>
      </c>
      <c r="E46" t="s">
        <v>222</v>
      </c>
    </row>
    <row r="47" spans="1:6" hidden="1">
      <c r="A47" t="s">
        <v>454</v>
      </c>
      <c r="B47" t="s">
        <v>56</v>
      </c>
      <c r="C47" t="s">
        <v>303</v>
      </c>
      <c r="D47" t="s">
        <v>51</v>
      </c>
      <c r="E47" t="s">
        <v>222</v>
      </c>
      <c r="F47" t="s">
        <v>294</v>
      </c>
    </row>
    <row r="48" spans="1:6" hidden="1">
      <c r="A48" t="s">
        <v>451</v>
      </c>
      <c r="B48" t="s">
        <v>26</v>
      </c>
      <c r="C48" t="s">
        <v>87</v>
      </c>
      <c r="D48" t="s">
        <v>379</v>
      </c>
      <c r="E48" t="s">
        <v>88</v>
      </c>
      <c r="F48" t="s">
        <v>89</v>
      </c>
    </row>
    <row r="49" spans="1:6" hidden="1">
      <c r="A49" t="s">
        <v>451</v>
      </c>
      <c r="B49" s="88" t="s">
        <v>27</v>
      </c>
      <c r="C49" t="s">
        <v>203</v>
      </c>
      <c r="D49" t="s">
        <v>379</v>
      </c>
      <c r="E49" t="s">
        <v>88</v>
      </c>
      <c r="F49" t="s">
        <v>204</v>
      </c>
    </row>
    <row r="50" spans="1:6" hidden="1">
      <c r="A50" t="s">
        <v>454</v>
      </c>
      <c r="B50" t="s">
        <v>3</v>
      </c>
      <c r="C50" t="s">
        <v>168</v>
      </c>
      <c r="D50" t="s">
        <v>417</v>
      </c>
      <c r="E50" t="s">
        <v>88</v>
      </c>
      <c r="F50" t="s">
        <v>169</v>
      </c>
    </row>
    <row r="51" spans="1:6" hidden="1">
      <c r="A51" t="s">
        <v>454</v>
      </c>
      <c r="B51" s="87" t="s">
        <v>467</v>
      </c>
      <c r="C51" t="s">
        <v>159</v>
      </c>
      <c r="D51" t="s">
        <v>421</v>
      </c>
      <c r="E51" t="s">
        <v>88</v>
      </c>
      <c r="F51" t="s">
        <v>468</v>
      </c>
    </row>
    <row r="52" spans="1:6" hidden="1">
      <c r="A52" t="s">
        <v>454</v>
      </c>
      <c r="B52" t="s">
        <v>7</v>
      </c>
      <c r="C52" t="s">
        <v>181</v>
      </c>
      <c r="D52" t="s">
        <v>417</v>
      </c>
      <c r="E52" t="s">
        <v>88</v>
      </c>
      <c r="F52" t="s">
        <v>452</v>
      </c>
    </row>
    <row r="53" spans="1:6" hidden="1">
      <c r="A53" t="s">
        <v>460</v>
      </c>
      <c r="B53" s="87" t="s">
        <v>469</v>
      </c>
      <c r="C53" s="87" t="s">
        <v>470</v>
      </c>
      <c r="D53" t="s">
        <v>51</v>
      </c>
      <c r="E53" t="s">
        <v>439</v>
      </c>
    </row>
    <row r="54" spans="1:6" hidden="1">
      <c r="A54" t="s">
        <v>454</v>
      </c>
      <c r="B54" s="87" t="s">
        <v>12</v>
      </c>
      <c r="C54" t="s">
        <v>183</v>
      </c>
      <c r="D54" t="s">
        <v>417</v>
      </c>
      <c r="E54" t="s">
        <v>88</v>
      </c>
      <c r="F54" t="s">
        <v>184</v>
      </c>
    </row>
    <row r="55" spans="1:6" hidden="1">
      <c r="A55" t="s">
        <v>454</v>
      </c>
      <c r="B55" t="s">
        <v>15</v>
      </c>
      <c r="D55" t="s">
        <v>417</v>
      </c>
      <c r="E55" t="s">
        <v>88</v>
      </c>
      <c r="F55" t="s">
        <v>97</v>
      </c>
    </row>
    <row r="56" spans="1:6" hidden="1">
      <c r="A56" t="s">
        <v>460</v>
      </c>
      <c r="B56" t="s">
        <v>57</v>
      </c>
      <c r="C56" t="s">
        <v>307</v>
      </c>
      <c r="D56" t="s">
        <v>51</v>
      </c>
      <c r="E56" t="s">
        <v>439</v>
      </c>
    </row>
    <row r="57" spans="1:6" hidden="1">
      <c r="A57" t="s">
        <v>460</v>
      </c>
      <c r="B57" t="s">
        <v>48</v>
      </c>
      <c r="C57" t="s">
        <v>251</v>
      </c>
      <c r="D57" t="s">
        <v>40</v>
      </c>
      <c r="E57" t="s">
        <v>442</v>
      </c>
      <c r="F57" t="s">
        <v>252</v>
      </c>
    </row>
    <row r="58" spans="1:6" hidden="1">
      <c r="A58" t="s">
        <v>460</v>
      </c>
      <c r="B58" t="s">
        <v>58</v>
      </c>
      <c r="C58" t="s">
        <v>309</v>
      </c>
      <c r="D58" t="s">
        <v>51</v>
      </c>
      <c r="E58" t="s">
        <v>439</v>
      </c>
    </row>
    <row r="59" spans="1:6" hidden="1">
      <c r="A59" t="s">
        <v>460</v>
      </c>
      <c r="B59" t="s">
        <v>49</v>
      </c>
      <c r="C59" t="s">
        <v>253</v>
      </c>
      <c r="D59" t="s">
        <v>40</v>
      </c>
      <c r="E59" t="s">
        <v>443</v>
      </c>
      <c r="F59" t="s">
        <v>471</v>
      </c>
    </row>
    <row r="60" spans="1:6" hidden="1">
      <c r="A60" t="s">
        <v>454</v>
      </c>
      <c r="B60" t="s">
        <v>36</v>
      </c>
      <c r="C60" t="s">
        <v>232</v>
      </c>
      <c r="D60" t="s">
        <v>435</v>
      </c>
      <c r="E60" t="s">
        <v>88</v>
      </c>
      <c r="F60" t="s">
        <v>233</v>
      </c>
    </row>
    <row r="61" spans="1:6" hidden="1">
      <c r="A61" t="s">
        <v>454</v>
      </c>
      <c r="B61" t="s">
        <v>29</v>
      </c>
      <c r="C61" t="s">
        <v>161</v>
      </c>
      <c r="D61" t="s">
        <v>421</v>
      </c>
      <c r="E61" t="s">
        <v>88</v>
      </c>
      <c r="F61" t="s">
        <v>97</v>
      </c>
    </row>
    <row r="62" spans="1:6" hidden="1">
      <c r="A62" t="s">
        <v>460</v>
      </c>
      <c r="B62" t="s">
        <v>24</v>
      </c>
      <c r="D62" t="s">
        <v>417</v>
      </c>
      <c r="E62" t="s">
        <v>88</v>
      </c>
    </row>
  </sheetData>
  <autoFilter ref="A1:F62" xr:uid="{0BD402D6-5248-4450-A001-D79F85E5A884}">
    <filterColumn colId="3">
      <filters>
        <filter val="Treća životna dob"/>
      </filters>
    </filterColumn>
  </autoFilter>
  <conditionalFormatting sqref="A76:A89">
    <cfRule type="duplicateValues" dxfId="3" priority="3"/>
  </conditionalFormatting>
  <conditionalFormatting sqref="B2:B31">
    <cfRule type="duplicateValues" dxfId="2"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161" zoomScaleNormal="100"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1.28515625" customWidth="1"/>
    <col min="2" max="2" width="26.42578125" customWidth="1"/>
    <col min="4" max="4" width="17.42578125" customWidth="1"/>
    <col min="5" max="5" width="34.42578125" customWidth="1"/>
    <col min="6" max="6" width="25.42578125" customWidth="1"/>
  </cols>
  <sheetData>
    <row r="1" spans="1:6">
      <c r="A1" t="s">
        <v>445</v>
      </c>
      <c r="B1" t="s">
        <v>446</v>
      </c>
      <c r="D1" t="s">
        <v>449</v>
      </c>
      <c r="E1" t="s">
        <v>450</v>
      </c>
      <c r="F1" t="s">
        <v>448</v>
      </c>
    </row>
    <row r="2" spans="1:6" s="101" customFormat="1">
      <c r="A2" s="100" t="s">
        <v>472</v>
      </c>
      <c r="B2" s="101" t="s">
        <v>68</v>
      </c>
      <c r="D2" s="101" t="s">
        <v>110</v>
      </c>
      <c r="E2" s="101" t="s">
        <v>312</v>
      </c>
      <c r="F2" s="101" t="s">
        <v>60</v>
      </c>
    </row>
    <row r="3" spans="1:6" s="90" customFormat="1" hidden="1">
      <c r="A3" s="89" t="s">
        <v>472</v>
      </c>
      <c r="B3" s="90" t="s">
        <v>38</v>
      </c>
      <c r="D3" s="90" t="s">
        <v>222</v>
      </c>
      <c r="E3" s="90" t="s">
        <v>452</v>
      </c>
      <c r="F3" s="90" t="s">
        <v>51</v>
      </c>
    </row>
    <row r="4" spans="1:6" s="101" customFormat="1">
      <c r="A4" s="100" t="s">
        <v>472</v>
      </c>
      <c r="B4" s="102" t="s">
        <v>453</v>
      </c>
      <c r="D4" s="101" t="s">
        <v>110</v>
      </c>
      <c r="E4" s="101" t="s">
        <v>256</v>
      </c>
      <c r="F4" s="101" t="s">
        <v>373</v>
      </c>
    </row>
    <row r="5" spans="1:6" s="90" customFormat="1" hidden="1">
      <c r="A5" s="91" t="s">
        <v>98</v>
      </c>
      <c r="B5" s="90" t="s">
        <v>37</v>
      </c>
      <c r="D5" s="90" t="s">
        <v>222</v>
      </c>
      <c r="E5" s="90" t="s">
        <v>452</v>
      </c>
      <c r="F5" s="90" t="s">
        <v>436</v>
      </c>
    </row>
    <row r="6" spans="1:6" s="101" customFormat="1">
      <c r="A6" s="100" t="s">
        <v>472</v>
      </c>
      <c r="B6" s="101" t="s">
        <v>69</v>
      </c>
      <c r="D6" s="101" t="s">
        <v>110</v>
      </c>
      <c r="E6" s="101" t="s">
        <v>312</v>
      </c>
      <c r="F6" s="101" t="s">
        <v>60</v>
      </c>
    </row>
    <row r="7" spans="1:6" s="101" customFormat="1">
      <c r="A7" s="100" t="s">
        <v>472</v>
      </c>
      <c r="B7" s="101" t="s">
        <v>62</v>
      </c>
      <c r="D7" s="101" t="s">
        <v>110</v>
      </c>
      <c r="E7" s="101" t="s">
        <v>452</v>
      </c>
      <c r="F7" s="101" t="s">
        <v>60</v>
      </c>
    </row>
    <row r="8" spans="1:6" s="98" customFormat="1">
      <c r="A8" s="96" t="s">
        <v>98</v>
      </c>
      <c r="B8" s="97" t="s">
        <v>455</v>
      </c>
      <c r="D8" s="98" t="s">
        <v>199</v>
      </c>
      <c r="E8" s="97" t="s">
        <v>456</v>
      </c>
      <c r="F8" s="98" t="s">
        <v>417</v>
      </c>
    </row>
    <row r="9" spans="1:6" s="94" customFormat="1">
      <c r="A9" s="93" t="s">
        <v>98</v>
      </c>
      <c r="B9" s="94" t="s">
        <v>45</v>
      </c>
      <c r="D9" s="94" t="s">
        <v>271</v>
      </c>
      <c r="E9" s="94" t="s">
        <v>457</v>
      </c>
      <c r="F9" s="94" t="s">
        <v>417</v>
      </c>
    </row>
    <row r="10" spans="1:6" s="101" customFormat="1">
      <c r="A10" s="100" t="s">
        <v>472</v>
      </c>
      <c r="B10" s="102" t="s">
        <v>458</v>
      </c>
      <c r="D10" s="101" t="s">
        <v>110</v>
      </c>
      <c r="E10" s="101" t="s">
        <v>452</v>
      </c>
      <c r="F10" s="101" t="s">
        <v>379</v>
      </c>
    </row>
    <row r="11" spans="1:6" s="106" customFormat="1">
      <c r="A11" s="105" t="s">
        <v>472</v>
      </c>
      <c r="B11" s="106" t="s">
        <v>42</v>
      </c>
      <c r="D11" s="106" t="s">
        <v>88</v>
      </c>
      <c r="E11" s="106" t="s">
        <v>264</v>
      </c>
      <c r="F11" s="106" t="s">
        <v>373</v>
      </c>
    </row>
    <row r="12" spans="1:6" s="101" customFormat="1" hidden="1">
      <c r="A12" s="100" t="s">
        <v>472</v>
      </c>
      <c r="B12" s="102" t="s">
        <v>459</v>
      </c>
      <c r="D12" s="101" t="s">
        <v>110</v>
      </c>
      <c r="E12" s="101" t="s">
        <v>111</v>
      </c>
      <c r="F12" s="101" t="s">
        <v>399</v>
      </c>
    </row>
    <row r="13" spans="1:6" s="101" customFormat="1">
      <c r="A13" s="100" t="s">
        <v>472</v>
      </c>
      <c r="B13" s="101" t="s">
        <v>17</v>
      </c>
      <c r="D13" s="101" t="s">
        <v>110</v>
      </c>
      <c r="E13" s="101" t="s">
        <v>111</v>
      </c>
      <c r="F13" s="101" t="s">
        <v>379</v>
      </c>
    </row>
    <row r="14" spans="1:6" s="101" customFormat="1">
      <c r="A14" s="100" t="s">
        <v>472</v>
      </c>
      <c r="B14" s="101" t="s">
        <v>20</v>
      </c>
      <c r="D14" s="101" t="s">
        <v>110</v>
      </c>
      <c r="E14" s="101" t="s">
        <v>111</v>
      </c>
      <c r="F14" s="101" t="s">
        <v>379</v>
      </c>
    </row>
    <row r="15" spans="1:6" s="101" customFormat="1" hidden="1">
      <c r="A15" s="100" t="s">
        <v>472</v>
      </c>
      <c r="B15" s="101" t="s">
        <v>53</v>
      </c>
      <c r="D15" s="101" t="s">
        <v>110</v>
      </c>
      <c r="E15" s="101" t="s">
        <v>111</v>
      </c>
      <c r="F15" s="101" t="s">
        <v>51</v>
      </c>
    </row>
    <row r="16" spans="1:6" s="101" customFormat="1">
      <c r="A16" s="100" t="s">
        <v>472</v>
      </c>
      <c r="B16" s="101" t="s">
        <v>21</v>
      </c>
      <c r="D16" s="101" t="s">
        <v>110</v>
      </c>
      <c r="E16" s="101" t="s">
        <v>111</v>
      </c>
      <c r="F16" s="101" t="s">
        <v>379</v>
      </c>
    </row>
    <row r="17" spans="1:6" s="101" customFormat="1">
      <c r="A17" s="100" t="s">
        <v>472</v>
      </c>
      <c r="B17" s="101" t="s">
        <v>63</v>
      </c>
      <c r="D17" s="101" t="s">
        <v>110</v>
      </c>
      <c r="E17" s="101" t="s">
        <v>111</v>
      </c>
      <c r="F17" s="101" t="s">
        <v>60</v>
      </c>
    </row>
    <row r="18" spans="1:6" s="101" customFormat="1">
      <c r="A18" s="100" t="s">
        <v>472</v>
      </c>
      <c r="B18" s="101" t="s">
        <v>63</v>
      </c>
      <c r="D18" s="101" t="s">
        <v>110</v>
      </c>
      <c r="E18" s="101" t="s">
        <v>452</v>
      </c>
      <c r="F18" s="101" t="s">
        <v>60</v>
      </c>
    </row>
    <row r="19" spans="1:6" s="101" customFormat="1" hidden="1">
      <c r="A19" s="100" t="s">
        <v>472</v>
      </c>
      <c r="B19" s="101" t="s">
        <v>46</v>
      </c>
      <c r="D19" s="101" t="s">
        <v>110</v>
      </c>
      <c r="E19" s="101" t="s">
        <v>111</v>
      </c>
      <c r="F19" s="101" t="s">
        <v>40</v>
      </c>
    </row>
    <row r="20" spans="1:6" s="90" customFormat="1" hidden="1">
      <c r="A20" s="89" t="s">
        <v>472</v>
      </c>
      <c r="B20" s="90" t="s">
        <v>47</v>
      </c>
      <c r="D20" s="90" t="s">
        <v>222</v>
      </c>
      <c r="E20" s="90" t="s">
        <v>242</v>
      </c>
      <c r="F20" s="90" t="s">
        <v>40</v>
      </c>
    </row>
    <row r="21" spans="1:6" s="101" customFormat="1">
      <c r="A21" s="100" t="s">
        <v>472</v>
      </c>
      <c r="B21" s="101" t="s">
        <v>25</v>
      </c>
      <c r="D21" s="101" t="s">
        <v>110</v>
      </c>
      <c r="E21" s="101" t="s">
        <v>111</v>
      </c>
      <c r="F21" s="101" t="s">
        <v>379</v>
      </c>
    </row>
    <row r="22" spans="1:6" s="101" customFormat="1">
      <c r="A22" s="100" t="s">
        <v>472</v>
      </c>
      <c r="B22" s="101" t="s">
        <v>64</v>
      </c>
      <c r="D22" s="101" t="s">
        <v>110</v>
      </c>
      <c r="E22" s="101" t="s">
        <v>312</v>
      </c>
      <c r="F22" s="101" t="s">
        <v>60</v>
      </c>
    </row>
    <row r="23" spans="1:6" s="101" customFormat="1" hidden="1">
      <c r="A23" s="100" t="s">
        <v>472</v>
      </c>
      <c r="B23" s="101" t="s">
        <v>28</v>
      </c>
      <c r="D23" s="101" t="s">
        <v>110</v>
      </c>
      <c r="E23" s="101" t="s">
        <v>118</v>
      </c>
      <c r="F23" s="101" t="s">
        <v>399</v>
      </c>
    </row>
    <row r="24" spans="1:6" s="101" customFormat="1">
      <c r="A24" s="103" t="s">
        <v>98</v>
      </c>
      <c r="B24" s="101" t="s">
        <v>458</v>
      </c>
      <c r="D24" s="101" t="s">
        <v>110</v>
      </c>
      <c r="E24" s="101" t="s">
        <v>452</v>
      </c>
      <c r="F24" s="101" t="s">
        <v>417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452</v>
      </c>
      <c r="F26" s="101" t="s">
        <v>421</v>
      </c>
    </row>
    <row r="27" spans="1:6" s="101" customFormat="1">
      <c r="A27" s="104" t="s">
        <v>167</v>
      </c>
      <c r="B27" s="101" t="s">
        <v>16</v>
      </c>
      <c r="D27" s="101" t="s">
        <v>110</v>
      </c>
      <c r="F27" s="101" t="s">
        <v>461</v>
      </c>
    </row>
    <row r="28" spans="1:6" s="101" customFormat="1">
      <c r="A28" s="100" t="s">
        <v>472</v>
      </c>
      <c r="B28" s="101" t="s">
        <v>65</v>
      </c>
      <c r="D28" s="101" t="s">
        <v>110</v>
      </c>
      <c r="E28" s="101" t="s">
        <v>312</v>
      </c>
      <c r="F28" s="101" t="s">
        <v>60</v>
      </c>
    </row>
    <row r="29" spans="1:6" s="101" customFormat="1">
      <c r="A29" s="100" t="s">
        <v>472</v>
      </c>
      <c r="B29" s="101" t="s">
        <v>66</v>
      </c>
      <c r="D29" s="101" t="s">
        <v>110</v>
      </c>
      <c r="E29" s="101" t="s">
        <v>452</v>
      </c>
      <c r="F29" s="101" t="s">
        <v>60</v>
      </c>
    </row>
    <row r="30" spans="1:6" s="101" customFormat="1">
      <c r="A30" s="100" t="s">
        <v>472</v>
      </c>
      <c r="B30" s="101" t="s">
        <v>67</v>
      </c>
      <c r="D30" s="101" t="s">
        <v>110</v>
      </c>
      <c r="E30" s="101" t="s">
        <v>452</v>
      </c>
      <c r="F30" s="101" t="s">
        <v>60</v>
      </c>
    </row>
    <row r="31" spans="1:6" s="101" customFormat="1" hidden="1">
      <c r="A31" s="104" t="s">
        <v>167</v>
      </c>
      <c r="B31" s="102" t="s">
        <v>462</v>
      </c>
      <c r="D31" s="101" t="s">
        <v>110</v>
      </c>
      <c r="F31" s="101" t="s">
        <v>440</v>
      </c>
    </row>
    <row r="32" spans="1:6" s="106" customFormat="1">
      <c r="A32" s="105" t="s">
        <v>472</v>
      </c>
      <c r="B32" s="106" t="s">
        <v>70</v>
      </c>
      <c r="D32" s="106" t="s">
        <v>88</v>
      </c>
      <c r="E32" s="106" t="s">
        <v>452</v>
      </c>
      <c r="F32" s="106" t="s">
        <v>60</v>
      </c>
    </row>
    <row r="33" spans="1:6" s="101" customFormat="1">
      <c r="A33" s="104" t="s">
        <v>167</v>
      </c>
      <c r="B33" s="101" t="s">
        <v>22</v>
      </c>
      <c r="D33" s="101" t="s">
        <v>110</v>
      </c>
      <c r="F33" s="101" t="s">
        <v>417</v>
      </c>
    </row>
    <row r="34" spans="1:6" s="90" customFormat="1" hidden="1">
      <c r="A34" s="91" t="s">
        <v>98</v>
      </c>
      <c r="B34" s="90" t="s">
        <v>52</v>
      </c>
      <c r="D34" s="90" t="s">
        <v>222</v>
      </c>
      <c r="E34" s="92" t="s">
        <v>473</v>
      </c>
      <c r="F34" s="90" t="s">
        <v>51</v>
      </c>
    </row>
    <row r="35" spans="1:6" s="101" customFormat="1">
      <c r="A35" s="104" t="s">
        <v>167</v>
      </c>
      <c r="B35" s="101" t="s">
        <v>23</v>
      </c>
      <c r="D35" s="101" t="s">
        <v>110</v>
      </c>
      <c r="F35" s="101" t="s">
        <v>417</v>
      </c>
    </row>
    <row r="36" spans="1:6" s="94" customFormat="1" hidden="1">
      <c r="A36" s="93" t="s">
        <v>98</v>
      </c>
      <c r="B36" s="94" t="s">
        <v>43</v>
      </c>
      <c r="D36" s="94" t="s">
        <v>427</v>
      </c>
      <c r="E36" s="94" t="s">
        <v>463</v>
      </c>
    </row>
    <row r="37" spans="1:6" s="101" customFormat="1">
      <c r="A37" s="103" t="s">
        <v>98</v>
      </c>
      <c r="B37" s="101" t="s">
        <v>61</v>
      </c>
      <c r="D37" s="101" t="s">
        <v>110</v>
      </c>
      <c r="E37" s="101" t="s">
        <v>452</v>
      </c>
      <c r="F37" s="101" t="s">
        <v>60</v>
      </c>
    </row>
    <row r="38" spans="1:6" s="94" customFormat="1">
      <c r="A38" s="93" t="s">
        <v>98</v>
      </c>
      <c r="B38" s="94" t="s">
        <v>13</v>
      </c>
      <c r="D38" s="94" t="s">
        <v>427</v>
      </c>
      <c r="E38" s="94" t="s">
        <v>187</v>
      </c>
      <c r="F38" s="94" t="s">
        <v>417</v>
      </c>
    </row>
    <row r="39" spans="1:6" s="101" customFormat="1">
      <c r="A39" s="100" t="s">
        <v>472</v>
      </c>
      <c r="B39" s="102" t="s">
        <v>464</v>
      </c>
      <c r="D39" s="101" t="s">
        <v>110</v>
      </c>
      <c r="E39" s="101" t="s">
        <v>101</v>
      </c>
      <c r="F39" s="101" t="s">
        <v>373</v>
      </c>
    </row>
    <row r="40" spans="1:6" s="94" customFormat="1" hidden="1">
      <c r="A40" s="93" t="s">
        <v>98</v>
      </c>
      <c r="B40" s="95" t="s">
        <v>465</v>
      </c>
      <c r="D40" s="94" t="s">
        <v>271</v>
      </c>
      <c r="E40" s="94" t="s">
        <v>272</v>
      </c>
      <c r="F40" s="94" t="s">
        <v>428</v>
      </c>
    </row>
    <row r="41" spans="1:6" s="106" customFormat="1">
      <c r="A41" s="105" t="s">
        <v>472</v>
      </c>
      <c r="B41" s="106" t="s">
        <v>8</v>
      </c>
      <c r="D41" s="106" t="s">
        <v>88</v>
      </c>
      <c r="E41" s="106" t="s">
        <v>135</v>
      </c>
      <c r="F41" s="106" t="s">
        <v>379</v>
      </c>
    </row>
    <row r="42" spans="1:6" s="106" customFormat="1">
      <c r="A42" s="105" t="s">
        <v>472</v>
      </c>
      <c r="B42" s="106" t="s">
        <v>9</v>
      </c>
      <c r="D42" s="106" t="s">
        <v>88</v>
      </c>
      <c r="E42" s="106" t="s">
        <v>89</v>
      </c>
      <c r="F42" s="106" t="s">
        <v>379</v>
      </c>
    </row>
    <row r="43" spans="1:6" s="106" customFormat="1">
      <c r="A43" s="105" t="s">
        <v>472</v>
      </c>
      <c r="B43" s="106" t="s">
        <v>10</v>
      </c>
      <c r="D43" s="106" t="s">
        <v>88</v>
      </c>
      <c r="E43" s="106" t="s">
        <v>89</v>
      </c>
      <c r="F43" s="106" t="s">
        <v>379</v>
      </c>
    </row>
    <row r="44" spans="1:6" s="106" customFormat="1" hidden="1">
      <c r="A44" s="105" t="s">
        <v>472</v>
      </c>
      <c r="B44" s="106" t="s">
        <v>34</v>
      </c>
      <c r="D44" s="106" t="s">
        <v>88</v>
      </c>
      <c r="E44" s="106" t="s">
        <v>89</v>
      </c>
      <c r="F44" s="106" t="s">
        <v>394</v>
      </c>
    </row>
    <row r="45" spans="1:6" s="106" customFormat="1" hidden="1">
      <c r="A45" s="105" t="s">
        <v>472</v>
      </c>
      <c r="B45" s="106" t="s">
        <v>35</v>
      </c>
      <c r="D45" s="106" t="s">
        <v>88</v>
      </c>
      <c r="E45" s="106" t="s">
        <v>452</v>
      </c>
      <c r="F45" s="106" t="s">
        <v>394</v>
      </c>
    </row>
    <row r="46" spans="1:6" s="90" customFormat="1" hidden="1">
      <c r="A46" s="91" t="s">
        <v>98</v>
      </c>
      <c r="B46" s="92" t="s">
        <v>466</v>
      </c>
      <c r="D46" s="90" t="s">
        <v>222</v>
      </c>
      <c r="E46" s="92" t="s">
        <v>473</v>
      </c>
      <c r="F46" s="90" t="s">
        <v>51</v>
      </c>
    </row>
    <row r="47" spans="1:6" s="90" customFormat="1" hidden="1">
      <c r="A47" s="91" t="s">
        <v>98</v>
      </c>
      <c r="B47" s="90" t="s">
        <v>56</v>
      </c>
      <c r="D47" s="90" t="s">
        <v>222</v>
      </c>
      <c r="E47" s="92" t="s">
        <v>473</v>
      </c>
      <c r="F47" s="90" t="s">
        <v>51</v>
      </c>
    </row>
    <row r="48" spans="1:6" s="106" customFormat="1">
      <c r="A48" s="105" t="s">
        <v>472</v>
      </c>
      <c r="B48" s="106" t="s">
        <v>26</v>
      </c>
      <c r="D48" s="106" t="s">
        <v>88</v>
      </c>
      <c r="E48" s="106" t="s">
        <v>89</v>
      </c>
      <c r="F48" s="106" t="s">
        <v>379</v>
      </c>
    </row>
    <row r="49" spans="1:6" s="106" customFormat="1">
      <c r="A49" s="105" t="s">
        <v>472</v>
      </c>
      <c r="B49" s="106" t="s">
        <v>27</v>
      </c>
      <c r="D49" s="106" t="s">
        <v>88</v>
      </c>
      <c r="E49" s="106" t="s">
        <v>204</v>
      </c>
      <c r="F49" s="106" t="s">
        <v>379</v>
      </c>
    </row>
    <row r="50" spans="1:6" s="106" customFormat="1">
      <c r="A50" s="107" t="s">
        <v>98</v>
      </c>
      <c r="B50" s="106" t="s">
        <v>3</v>
      </c>
      <c r="D50" s="106" t="s">
        <v>88</v>
      </c>
      <c r="E50" s="106" t="s">
        <v>169</v>
      </c>
      <c r="F50" s="106" t="s">
        <v>417</v>
      </c>
    </row>
    <row r="51" spans="1:6" s="106" customFormat="1" hidden="1">
      <c r="A51" s="107" t="s">
        <v>98</v>
      </c>
      <c r="B51" s="108" t="s">
        <v>467</v>
      </c>
      <c r="D51" s="106" t="s">
        <v>88</v>
      </c>
      <c r="E51" s="106" t="s">
        <v>468</v>
      </c>
      <c r="F51" s="106" t="s">
        <v>421</v>
      </c>
    </row>
    <row r="52" spans="1:6" s="106" customFormat="1">
      <c r="A52" s="107" t="s">
        <v>98</v>
      </c>
      <c r="B52" s="106" t="s">
        <v>7</v>
      </c>
      <c r="D52" s="106" t="s">
        <v>88</v>
      </c>
      <c r="E52" s="106" t="s">
        <v>452</v>
      </c>
      <c r="F52" s="106" t="s">
        <v>417</v>
      </c>
    </row>
    <row r="53" spans="1:6" s="101" customFormat="1" hidden="1">
      <c r="A53" s="104" t="s">
        <v>167</v>
      </c>
      <c r="B53" s="102" t="s">
        <v>469</v>
      </c>
      <c r="D53" s="101" t="s">
        <v>110</v>
      </c>
      <c r="F53" s="101" t="s">
        <v>51</v>
      </c>
    </row>
    <row r="54" spans="1:6" s="106" customFormat="1">
      <c r="A54" s="107" t="s">
        <v>98</v>
      </c>
      <c r="B54" s="108" t="s">
        <v>12</v>
      </c>
      <c r="D54" s="106" t="s">
        <v>88</v>
      </c>
      <c r="E54" s="106" t="s">
        <v>184</v>
      </c>
      <c r="F54" s="106" t="s">
        <v>417</v>
      </c>
    </row>
    <row r="55" spans="1:6" s="106" customFormat="1">
      <c r="A55" s="107" t="s">
        <v>98</v>
      </c>
      <c r="B55" s="106" t="s">
        <v>15</v>
      </c>
      <c r="D55" s="106" t="s">
        <v>88</v>
      </c>
      <c r="E55" s="106" t="s">
        <v>97</v>
      </c>
      <c r="F55" s="106" t="s">
        <v>417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471</v>
      </c>
      <c r="F59" s="98" t="s">
        <v>40</v>
      </c>
    </row>
    <row r="60" spans="1:6" s="106" customFormat="1" hidden="1">
      <c r="A60" s="107" t="s">
        <v>98</v>
      </c>
      <c r="B60" s="106" t="s">
        <v>36</v>
      </c>
      <c r="D60" s="106" t="s">
        <v>88</v>
      </c>
      <c r="E60" s="106" t="s">
        <v>233</v>
      </c>
      <c r="F60" s="106" t="s">
        <v>435</v>
      </c>
    </row>
    <row r="61" spans="1:6" s="106" customFormat="1" hidden="1">
      <c r="A61" s="107" t="s">
        <v>98</v>
      </c>
      <c r="B61" s="106" t="s">
        <v>29</v>
      </c>
      <c r="D61" s="106" t="s">
        <v>88</v>
      </c>
      <c r="E61" s="106" t="s">
        <v>97</v>
      </c>
      <c r="F61" s="106" t="s">
        <v>421</v>
      </c>
    </row>
    <row r="62" spans="1:6" s="106" customFormat="1">
      <c r="A62" s="109" t="s">
        <v>167</v>
      </c>
      <c r="B62" s="106" t="s">
        <v>24</v>
      </c>
      <c r="D62" s="106" t="s">
        <v>88</v>
      </c>
      <c r="F62" s="106" t="s">
        <v>417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1" priority="1"/>
  </conditionalFormatting>
  <conditionalFormatting sqref="B2:B31">
    <cfRule type="duplicateValues" dxfId="0"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2" activePane="bottomLeft" state="frozen"/>
      <selection pane="bottomLeft" activeCell="E8" sqref="E8"/>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8.7109375" style="62"/>
    <col min="11" max="11" width="60.42578125" style="62" customWidth="1"/>
    <col min="12" max="15" width="8.7109375" style="62"/>
    <col min="16" max="16" width="24.28515625" style="62" bestFit="1" customWidth="1"/>
    <col min="17" max="16384" width="8.710937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474</v>
      </c>
      <c r="M2" s="20" t="s">
        <v>318</v>
      </c>
      <c r="N2" s="20"/>
      <c r="O2" s="20"/>
      <c r="P2" s="40" t="s">
        <v>475</v>
      </c>
      <c r="Q2" s="41"/>
    </row>
    <row r="3" spans="1:17" s="42" customFormat="1" ht="77.45" customHeight="1">
      <c r="A3" s="19">
        <v>2</v>
      </c>
      <c r="B3" s="23" t="s">
        <v>4</v>
      </c>
      <c r="C3" s="23" t="s">
        <v>99</v>
      </c>
      <c r="D3" s="20" t="s">
        <v>399</v>
      </c>
      <c r="E3" s="23" t="s">
        <v>100</v>
      </c>
      <c r="F3" s="23" t="s">
        <v>476</v>
      </c>
      <c r="G3" s="23" t="s">
        <v>102</v>
      </c>
      <c r="H3" s="43" t="s">
        <v>103</v>
      </c>
      <c r="I3" s="20" t="s">
        <v>104</v>
      </c>
      <c r="J3" s="67" t="s">
        <v>105</v>
      </c>
      <c r="K3" s="23" t="s">
        <v>106</v>
      </c>
      <c r="L3" s="23" t="s">
        <v>477</v>
      </c>
      <c r="M3" s="23" t="s">
        <v>108</v>
      </c>
      <c r="N3" s="23"/>
      <c r="O3" s="23"/>
      <c r="P3" s="40" t="s">
        <v>475</v>
      </c>
      <c r="Q3" s="41"/>
    </row>
    <row r="4" spans="1:17" s="42" customFormat="1" ht="45" customHeight="1">
      <c r="A4" s="21">
        <v>3</v>
      </c>
      <c r="B4" s="21" t="s">
        <v>41</v>
      </c>
      <c r="C4" s="21" t="s">
        <v>255</v>
      </c>
      <c r="D4" s="21" t="s">
        <v>373</v>
      </c>
      <c r="E4" s="19" t="s">
        <v>110</v>
      </c>
      <c r="F4" s="21" t="s">
        <v>256</v>
      </c>
      <c r="G4" s="21" t="s">
        <v>257</v>
      </c>
      <c r="H4" s="44" t="s">
        <v>258</v>
      </c>
      <c r="I4" s="21">
        <v>38733226445</v>
      </c>
      <c r="J4" s="21"/>
      <c r="K4" s="21" t="s">
        <v>259</v>
      </c>
      <c r="L4" s="21" t="s">
        <v>260</v>
      </c>
      <c r="M4" s="21" t="s">
        <v>478</v>
      </c>
      <c r="N4" s="44" t="s">
        <v>262</v>
      </c>
      <c r="O4" s="44" t="s">
        <v>258</v>
      </c>
      <c r="P4" s="40" t="s">
        <v>475</v>
      </c>
      <c r="Q4" s="41"/>
    </row>
    <row r="5" spans="1:17" s="42" customFormat="1" ht="51" customHeight="1">
      <c r="A5" s="19">
        <v>4</v>
      </c>
      <c r="B5" s="24" t="s">
        <v>5</v>
      </c>
      <c r="C5" s="24" t="s">
        <v>124</v>
      </c>
      <c r="D5" s="19" t="s">
        <v>379</v>
      </c>
      <c r="E5" s="24" t="s">
        <v>110</v>
      </c>
      <c r="F5" s="24" t="s">
        <v>125</v>
      </c>
      <c r="G5" s="24" t="s">
        <v>126</v>
      </c>
      <c r="H5" s="39" t="s">
        <v>127</v>
      </c>
      <c r="I5" s="21">
        <v>38733492125</v>
      </c>
      <c r="J5" s="25" t="s">
        <v>128</v>
      </c>
      <c r="K5" s="24" t="s">
        <v>129</v>
      </c>
      <c r="L5" s="24" t="s">
        <v>130</v>
      </c>
      <c r="M5" s="24" t="s">
        <v>479</v>
      </c>
      <c r="N5" s="25" t="s">
        <v>132</v>
      </c>
      <c r="O5" s="24" t="s">
        <v>133</v>
      </c>
      <c r="P5" s="40" t="s">
        <v>475</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475</v>
      </c>
      <c r="Q6" s="41"/>
    </row>
    <row r="7" spans="1:17" s="42" customFormat="1" ht="33.6" customHeight="1">
      <c r="A7" s="19">
        <v>6</v>
      </c>
      <c r="B7" s="20" t="s">
        <v>62</v>
      </c>
      <c r="C7" s="20" t="s">
        <v>322</v>
      </c>
      <c r="D7" s="20" t="s">
        <v>480</v>
      </c>
      <c r="E7" s="20" t="s">
        <v>110</v>
      </c>
      <c r="F7" s="20" t="s">
        <v>284</v>
      </c>
      <c r="G7" s="20" t="s">
        <v>285</v>
      </c>
      <c r="H7" s="45" t="s">
        <v>323</v>
      </c>
      <c r="I7" s="20">
        <v>38733562379</v>
      </c>
      <c r="J7" s="20" t="s">
        <v>332</v>
      </c>
      <c r="K7" s="20"/>
      <c r="L7" s="20" t="s">
        <v>325</v>
      </c>
      <c r="M7" s="20" t="s">
        <v>326</v>
      </c>
      <c r="N7" s="39" t="s">
        <v>327</v>
      </c>
      <c r="O7" s="20" t="s">
        <v>328</v>
      </c>
      <c r="P7" s="40" t="s">
        <v>475</v>
      </c>
      <c r="Q7" s="41"/>
    </row>
    <row r="8" spans="1:17" s="42" customFormat="1" ht="33.6" customHeight="1">
      <c r="A8" s="19">
        <v>7</v>
      </c>
      <c r="B8" s="21" t="s">
        <v>8</v>
      </c>
      <c r="C8" s="26" t="s">
        <v>134</v>
      </c>
      <c r="D8" s="19" t="s">
        <v>379</v>
      </c>
      <c r="E8" s="26" t="s">
        <v>88</v>
      </c>
      <c r="F8" s="26" t="s">
        <v>135</v>
      </c>
      <c r="G8" s="26" t="s">
        <v>90</v>
      </c>
      <c r="H8" s="46" t="s">
        <v>91</v>
      </c>
      <c r="I8" s="64">
        <v>38733725207</v>
      </c>
      <c r="J8" s="46" t="s">
        <v>92</v>
      </c>
      <c r="K8" s="26" t="s">
        <v>136</v>
      </c>
      <c r="L8" s="26" t="s">
        <v>137</v>
      </c>
      <c r="M8" s="26" t="s">
        <v>95</v>
      </c>
      <c r="N8" s="26" t="s">
        <v>95</v>
      </c>
      <c r="O8" s="26" t="s">
        <v>95</v>
      </c>
      <c r="P8" s="40" t="s">
        <v>475</v>
      </c>
      <c r="Q8" s="41"/>
    </row>
    <row r="9" spans="1:17" s="42" customFormat="1" ht="33.6" customHeight="1">
      <c r="A9" s="19">
        <v>8</v>
      </c>
      <c r="B9" s="21" t="s">
        <v>9</v>
      </c>
      <c r="C9" s="26" t="s">
        <v>138</v>
      </c>
      <c r="D9" s="19" t="s">
        <v>379</v>
      </c>
      <c r="E9" s="26" t="s">
        <v>88</v>
      </c>
      <c r="F9" s="26" t="s">
        <v>89</v>
      </c>
      <c r="G9" s="26" t="s">
        <v>90</v>
      </c>
      <c r="H9" s="46" t="s">
        <v>91</v>
      </c>
      <c r="I9" s="64">
        <v>38733725207</v>
      </c>
      <c r="J9" s="46" t="s">
        <v>92</v>
      </c>
      <c r="K9" s="26" t="s">
        <v>139</v>
      </c>
      <c r="L9" s="26" t="s">
        <v>140</v>
      </c>
      <c r="M9" s="26" t="s">
        <v>95</v>
      </c>
      <c r="N9" s="26" t="s">
        <v>95</v>
      </c>
      <c r="O9" s="26" t="s">
        <v>95</v>
      </c>
      <c r="P9" s="40" t="s">
        <v>475</v>
      </c>
      <c r="Q9" s="41"/>
    </row>
    <row r="10" spans="1:17" s="42" customFormat="1" ht="33.6" customHeight="1">
      <c r="A10" s="19">
        <v>9</v>
      </c>
      <c r="B10" s="21" t="s">
        <v>10</v>
      </c>
      <c r="C10" s="26" t="s">
        <v>141</v>
      </c>
      <c r="D10" s="19" t="s">
        <v>379</v>
      </c>
      <c r="E10" s="26" t="s">
        <v>88</v>
      </c>
      <c r="F10" s="26" t="s">
        <v>89</v>
      </c>
      <c r="G10" s="26" t="s">
        <v>90</v>
      </c>
      <c r="H10" s="46" t="s">
        <v>91</v>
      </c>
      <c r="I10" s="64">
        <v>38733725207</v>
      </c>
      <c r="J10" s="46" t="s">
        <v>92</v>
      </c>
      <c r="K10" s="27" t="s">
        <v>142</v>
      </c>
      <c r="L10" s="26" t="s">
        <v>143</v>
      </c>
      <c r="M10" s="26" t="s">
        <v>95</v>
      </c>
      <c r="N10" s="26" t="s">
        <v>95</v>
      </c>
      <c r="O10" s="26" t="s">
        <v>95</v>
      </c>
      <c r="P10" s="40" t="s">
        <v>475</v>
      </c>
      <c r="Q10" s="41"/>
    </row>
    <row r="11" spans="1:17" s="42" customFormat="1" ht="33.6" customHeight="1">
      <c r="A11" s="21">
        <v>10</v>
      </c>
      <c r="B11" s="20" t="s">
        <v>42</v>
      </c>
      <c r="C11" s="20" t="s">
        <v>263</v>
      </c>
      <c r="D11" s="20" t="s">
        <v>373</v>
      </c>
      <c r="E11" s="20" t="s">
        <v>88</v>
      </c>
      <c r="F11" s="20" t="s">
        <v>264</v>
      </c>
      <c r="G11" s="20" t="s">
        <v>265</v>
      </c>
      <c r="H11" s="39" t="s">
        <v>266</v>
      </c>
      <c r="I11" s="20">
        <v>38733562027</v>
      </c>
      <c r="J11" s="39" t="s">
        <v>267</v>
      </c>
      <c r="K11" s="20" t="s">
        <v>268</v>
      </c>
      <c r="L11" s="20"/>
      <c r="M11" s="39" t="s">
        <v>269</v>
      </c>
      <c r="N11" s="39" t="s">
        <v>269</v>
      </c>
      <c r="O11" s="20"/>
      <c r="P11" s="40" t="s">
        <v>475</v>
      </c>
      <c r="Q11" s="41"/>
    </row>
    <row r="12" spans="1:17" s="48" customFormat="1" ht="33.6" customHeight="1">
      <c r="A12" s="19">
        <v>11</v>
      </c>
      <c r="B12" s="21" t="s">
        <v>34</v>
      </c>
      <c r="C12" s="26" t="s">
        <v>208</v>
      </c>
      <c r="D12" s="21" t="s">
        <v>394</v>
      </c>
      <c r="E12" s="26" t="s">
        <v>88</v>
      </c>
      <c r="F12" s="26" t="s">
        <v>89</v>
      </c>
      <c r="G12" s="26" t="s">
        <v>90</v>
      </c>
      <c r="H12" s="46" t="s">
        <v>91</v>
      </c>
      <c r="I12" s="64">
        <v>38733725207</v>
      </c>
      <c r="J12" s="46" t="s">
        <v>92</v>
      </c>
      <c r="K12" s="26" t="s">
        <v>209</v>
      </c>
      <c r="L12" s="26" t="s">
        <v>210</v>
      </c>
      <c r="M12" s="26" t="s">
        <v>95</v>
      </c>
      <c r="N12" s="26" t="s">
        <v>95</v>
      </c>
      <c r="O12" s="26" t="s">
        <v>95</v>
      </c>
      <c r="P12" s="40" t="s">
        <v>475</v>
      </c>
      <c r="Q12" s="47"/>
    </row>
    <row r="13" spans="1:17" s="48" customFormat="1" ht="33.6" customHeight="1">
      <c r="A13" s="19">
        <v>12</v>
      </c>
      <c r="B13" s="21" t="s">
        <v>35</v>
      </c>
      <c r="C13" s="21" t="s">
        <v>211</v>
      </c>
      <c r="D13" s="21" t="s">
        <v>394</v>
      </c>
      <c r="E13" s="19" t="s">
        <v>88</v>
      </c>
      <c r="F13" s="21" t="s">
        <v>212</v>
      </c>
      <c r="G13" s="21" t="s">
        <v>213</v>
      </c>
      <c r="H13" s="44" t="s">
        <v>214</v>
      </c>
      <c r="I13" s="21">
        <v>38733291190</v>
      </c>
      <c r="J13" s="21" t="s">
        <v>215</v>
      </c>
      <c r="K13" s="21" t="s">
        <v>216</v>
      </c>
      <c r="L13" s="21" t="s">
        <v>217</v>
      </c>
      <c r="M13" s="21" t="s">
        <v>218</v>
      </c>
      <c r="N13" s="21" t="s">
        <v>219</v>
      </c>
      <c r="O13" s="21" t="s">
        <v>220</v>
      </c>
      <c r="P13" s="40" t="s">
        <v>475</v>
      </c>
      <c r="Q13" s="47"/>
    </row>
    <row r="14" spans="1:17" s="42" customFormat="1" ht="33.6" customHeight="1">
      <c r="A14" s="19">
        <v>13</v>
      </c>
      <c r="B14" s="19" t="s">
        <v>11</v>
      </c>
      <c r="C14" s="19" t="s">
        <v>109</v>
      </c>
      <c r="D14" s="19" t="s">
        <v>399</v>
      </c>
      <c r="E14" s="19" t="s">
        <v>110</v>
      </c>
      <c r="F14" s="19" t="s">
        <v>111</v>
      </c>
      <c r="G14" s="19" t="s">
        <v>112</v>
      </c>
      <c r="H14" s="49" t="s">
        <v>113</v>
      </c>
      <c r="I14" s="19">
        <v>38733723640</v>
      </c>
      <c r="J14" s="49" t="s">
        <v>114</v>
      </c>
      <c r="K14" s="19" t="s">
        <v>115</v>
      </c>
      <c r="L14" s="19"/>
      <c r="M14" s="49" t="s">
        <v>116</v>
      </c>
      <c r="N14" s="49" t="s">
        <v>116</v>
      </c>
      <c r="O14" s="19"/>
      <c r="P14" s="40" t="s">
        <v>475</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475</v>
      </c>
      <c r="Q15" s="41"/>
    </row>
    <row r="16" spans="1:17" s="48" customFormat="1" ht="33.6" customHeight="1">
      <c r="A16" s="19">
        <v>15</v>
      </c>
      <c r="B16" s="20" t="s">
        <v>17</v>
      </c>
      <c r="C16" s="20" t="s">
        <v>144</v>
      </c>
      <c r="D16" s="20" t="s">
        <v>379</v>
      </c>
      <c r="E16" s="20" t="s">
        <v>110</v>
      </c>
      <c r="F16" s="20" t="s">
        <v>111</v>
      </c>
      <c r="G16" s="20" t="s">
        <v>112</v>
      </c>
      <c r="H16" s="39" t="s">
        <v>113</v>
      </c>
      <c r="I16" s="20">
        <v>38733723635</v>
      </c>
      <c r="J16" s="39" t="s">
        <v>145</v>
      </c>
      <c r="K16" s="20" t="s">
        <v>146</v>
      </c>
      <c r="L16" s="20" t="s">
        <v>147</v>
      </c>
      <c r="M16" s="39" t="s">
        <v>148</v>
      </c>
      <c r="N16" s="39" t="s">
        <v>148</v>
      </c>
      <c r="O16" s="20"/>
      <c r="P16" s="40" t="s">
        <v>475</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475</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475</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475</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475</v>
      </c>
      <c r="Q20" s="41"/>
    </row>
    <row r="21" spans="1:17" s="42" customFormat="1" ht="33.6" customHeight="1">
      <c r="A21" s="19">
        <v>19</v>
      </c>
      <c r="B21" s="20" t="s">
        <v>20</v>
      </c>
      <c r="C21" s="20" t="s">
        <v>149</v>
      </c>
      <c r="D21" s="20" t="s">
        <v>379</v>
      </c>
      <c r="E21" s="20" t="s">
        <v>110</v>
      </c>
      <c r="F21" s="20" t="s">
        <v>111</v>
      </c>
      <c r="G21" s="20" t="s">
        <v>112</v>
      </c>
      <c r="H21" s="39" t="s">
        <v>113</v>
      </c>
      <c r="I21" s="20">
        <v>38733723635</v>
      </c>
      <c r="J21" s="39" t="s">
        <v>145</v>
      </c>
      <c r="K21" s="20" t="s">
        <v>146</v>
      </c>
      <c r="L21" s="20" t="s">
        <v>150</v>
      </c>
      <c r="M21" s="39" t="s">
        <v>151</v>
      </c>
      <c r="N21" s="39" t="s">
        <v>151</v>
      </c>
      <c r="O21" s="20"/>
      <c r="P21" s="40" t="s">
        <v>475</v>
      </c>
      <c r="Q21" s="41"/>
    </row>
    <row r="22" spans="1:17" s="42" customFormat="1" ht="33.6" customHeight="1">
      <c r="A22" s="19">
        <v>20</v>
      </c>
      <c r="B22" s="19" t="s">
        <v>21</v>
      </c>
      <c r="C22" s="19" t="s">
        <v>152</v>
      </c>
      <c r="D22" s="19" t="s">
        <v>379</v>
      </c>
      <c r="E22" s="19" t="s">
        <v>110</v>
      </c>
      <c r="F22" s="19" t="s">
        <v>111</v>
      </c>
      <c r="G22" s="19" t="s">
        <v>112</v>
      </c>
      <c r="H22" s="49" t="s">
        <v>113</v>
      </c>
      <c r="I22" s="20">
        <v>38733723635</v>
      </c>
      <c r="J22" s="49" t="s">
        <v>145</v>
      </c>
      <c r="K22" s="19" t="s">
        <v>146</v>
      </c>
      <c r="L22" s="19" t="s">
        <v>153</v>
      </c>
      <c r="M22" s="49" t="s">
        <v>154</v>
      </c>
      <c r="N22" s="49" t="s">
        <v>154</v>
      </c>
      <c r="O22" s="19"/>
      <c r="P22" s="40" t="s">
        <v>475</v>
      </c>
      <c r="Q22" s="41"/>
    </row>
    <row r="23" spans="1:17" s="48" customFormat="1" ht="33.6" customHeight="1">
      <c r="A23" s="19">
        <v>21</v>
      </c>
      <c r="B23" s="20" t="s">
        <v>25</v>
      </c>
      <c r="C23" s="20" t="s">
        <v>25</v>
      </c>
      <c r="D23" s="20" t="s">
        <v>379</v>
      </c>
      <c r="E23" s="20" t="s">
        <v>110</v>
      </c>
      <c r="F23" s="20" t="s">
        <v>111</v>
      </c>
      <c r="G23" s="20" t="s">
        <v>112</v>
      </c>
      <c r="H23" s="39" t="s">
        <v>113</v>
      </c>
      <c r="I23" s="20">
        <v>38733723635</v>
      </c>
      <c r="J23" s="39" t="s">
        <v>145</v>
      </c>
      <c r="K23" s="20" t="s">
        <v>155</v>
      </c>
      <c r="L23" s="20" t="s">
        <v>156</v>
      </c>
      <c r="M23" s="39" t="s">
        <v>157</v>
      </c>
      <c r="N23" s="39" t="s">
        <v>158</v>
      </c>
      <c r="O23" s="20"/>
      <c r="P23" s="40" t="s">
        <v>475</v>
      </c>
      <c r="Q23" s="47"/>
    </row>
    <row r="24" spans="1:17" s="55" customFormat="1" ht="33.6" customHeight="1">
      <c r="A24" s="19">
        <v>22</v>
      </c>
      <c r="B24" s="21" t="s">
        <v>26</v>
      </c>
      <c r="C24" s="26" t="s">
        <v>87</v>
      </c>
      <c r="D24" s="26" t="s">
        <v>95</v>
      </c>
      <c r="E24" s="26" t="s">
        <v>380</v>
      </c>
      <c r="F24" s="26" t="s">
        <v>89</v>
      </c>
      <c r="G24" s="26" t="s">
        <v>90</v>
      </c>
      <c r="H24" s="46" t="s">
        <v>91</v>
      </c>
      <c r="I24" s="64">
        <v>38733725207</v>
      </c>
      <c r="J24" s="46" t="s">
        <v>92</v>
      </c>
      <c r="K24" s="26" t="s">
        <v>93</v>
      </c>
      <c r="L24" s="26" t="s">
        <v>94</v>
      </c>
      <c r="M24" s="26" t="s">
        <v>95</v>
      </c>
      <c r="N24" s="26" t="s">
        <v>95</v>
      </c>
      <c r="O24" s="26" t="s">
        <v>95</v>
      </c>
      <c r="P24" s="40" t="s">
        <v>475</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481</v>
      </c>
      <c r="L25" s="19" t="s">
        <v>405</v>
      </c>
      <c r="M25" s="19" t="s">
        <v>482</v>
      </c>
      <c r="N25" s="19"/>
      <c r="O25" s="19" t="s">
        <v>340</v>
      </c>
      <c r="P25" s="40" t="s">
        <v>475</v>
      </c>
      <c r="Q25" s="56"/>
    </row>
    <row r="26" spans="1:17" s="48" customFormat="1" ht="33.6" customHeight="1">
      <c r="A26" s="19">
        <v>24</v>
      </c>
      <c r="B26" s="21" t="s">
        <v>27</v>
      </c>
      <c r="C26" s="26" t="s">
        <v>203</v>
      </c>
      <c r="D26" s="26" t="s">
        <v>88</v>
      </c>
      <c r="E26" s="26" t="s">
        <v>483</v>
      </c>
      <c r="F26" s="26" t="s">
        <v>204</v>
      </c>
      <c r="G26" s="26" t="s">
        <v>90</v>
      </c>
      <c r="H26" s="26" t="s">
        <v>91</v>
      </c>
      <c r="I26" s="64">
        <v>38733725207</v>
      </c>
      <c r="J26" s="46" t="s">
        <v>92</v>
      </c>
      <c r="K26" s="26" t="s">
        <v>205</v>
      </c>
      <c r="L26" s="26" t="s">
        <v>206</v>
      </c>
      <c r="M26" s="26" t="s">
        <v>95</v>
      </c>
      <c r="N26" s="26" t="s">
        <v>95</v>
      </c>
      <c r="O26" s="26" t="s">
        <v>95</v>
      </c>
      <c r="P26" s="40" t="s">
        <v>475</v>
      </c>
      <c r="Q26" s="47"/>
    </row>
    <row r="27" spans="1:17" s="48" customFormat="1" ht="33.6" customHeight="1">
      <c r="A27" s="19">
        <v>25</v>
      </c>
      <c r="B27" s="21" t="s">
        <v>28</v>
      </c>
      <c r="C27" s="21" t="s">
        <v>117</v>
      </c>
      <c r="D27" s="19" t="s">
        <v>399</v>
      </c>
      <c r="E27" s="21" t="s">
        <v>110</v>
      </c>
      <c r="F27" s="21" t="s">
        <v>484</v>
      </c>
      <c r="G27" s="21" t="s">
        <v>119</v>
      </c>
      <c r="H27" s="44" t="s">
        <v>120</v>
      </c>
      <c r="I27" s="21">
        <v>38733209044</v>
      </c>
      <c r="J27" s="21" t="s">
        <v>121</v>
      </c>
      <c r="K27" s="21" t="s">
        <v>122</v>
      </c>
      <c r="L27" s="21"/>
      <c r="M27" s="21" t="s">
        <v>485</v>
      </c>
      <c r="N27" s="21"/>
      <c r="O27" s="21"/>
      <c r="P27" s="40" t="s">
        <v>475</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486</v>
      </c>
      <c r="L28" s="20" t="s">
        <v>487</v>
      </c>
      <c r="M28" s="20" t="s">
        <v>344</v>
      </c>
      <c r="N28" s="20"/>
      <c r="O28" s="20" t="s">
        <v>345</v>
      </c>
      <c r="P28" s="40" t="s">
        <v>475</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475</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475</v>
      </c>
      <c r="Q30" s="47"/>
    </row>
    <row r="31" spans="1:17" s="48" customFormat="1" ht="33.6" customHeight="1">
      <c r="A31" s="19">
        <v>29</v>
      </c>
      <c r="B31" s="29" t="s">
        <v>38</v>
      </c>
      <c r="C31" s="21" t="s">
        <v>221</v>
      </c>
      <c r="D31" s="21" t="s">
        <v>394</v>
      </c>
      <c r="E31" s="29" t="s">
        <v>222</v>
      </c>
      <c r="F31" s="21" t="s">
        <v>173</v>
      </c>
      <c r="G31" s="21" t="s">
        <v>223</v>
      </c>
      <c r="H31" s="44" t="s">
        <v>224</v>
      </c>
      <c r="I31" s="21">
        <v>38733775723</v>
      </c>
      <c r="J31" s="44" t="s">
        <v>225</v>
      </c>
      <c r="K31" s="21" t="s">
        <v>226</v>
      </c>
      <c r="L31" s="29" t="s">
        <v>227</v>
      </c>
      <c r="M31" s="21" t="s">
        <v>488</v>
      </c>
      <c r="N31" s="44" t="s">
        <v>229</v>
      </c>
      <c r="O31" s="21"/>
      <c r="P31" s="40" t="s">
        <v>475</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475</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475</v>
      </c>
      <c r="Q33" s="47"/>
    </row>
    <row r="34" spans="1:17" s="48" customFormat="1" ht="91.5" customHeight="1">
      <c r="A34" s="19">
        <v>30</v>
      </c>
      <c r="B34" s="20" t="s">
        <v>70</v>
      </c>
      <c r="C34" s="20" t="s">
        <v>350</v>
      </c>
      <c r="D34" s="20" t="s">
        <v>60</v>
      </c>
      <c r="E34" s="20" t="s">
        <v>88</v>
      </c>
      <c r="F34" s="20" t="s">
        <v>476</v>
      </c>
      <c r="G34" s="20"/>
      <c r="H34" s="20"/>
      <c r="I34" s="20"/>
      <c r="J34" s="20"/>
      <c r="K34" s="20" t="s">
        <v>489</v>
      </c>
      <c r="L34" s="20" t="s">
        <v>490</v>
      </c>
      <c r="M34" s="20" t="s">
        <v>491</v>
      </c>
      <c r="N34" s="20"/>
      <c r="O34" s="20" t="s">
        <v>354</v>
      </c>
      <c r="P34" s="40" t="s">
        <v>475</v>
      </c>
      <c r="Q34" s="47"/>
    </row>
    <row r="35" spans="1:17" s="48" customFormat="1" ht="52.5">
      <c r="A35" s="19">
        <v>31</v>
      </c>
      <c r="B35" s="21" t="s">
        <v>3</v>
      </c>
      <c r="C35" s="21" t="s">
        <v>168</v>
      </c>
      <c r="D35" s="21" t="s">
        <v>417</v>
      </c>
      <c r="E35" s="21" t="s">
        <v>88</v>
      </c>
      <c r="F35" s="21" t="s">
        <v>169</v>
      </c>
      <c r="G35" s="21" t="s">
        <v>170</v>
      </c>
      <c r="H35" s="44"/>
      <c r="I35" s="21">
        <v>38733285261</v>
      </c>
      <c r="J35" s="44"/>
      <c r="K35" s="21"/>
      <c r="L35" s="21" t="s">
        <v>171</v>
      </c>
      <c r="M35" s="44"/>
      <c r="N35" s="44"/>
      <c r="O35" s="60"/>
      <c r="P35" s="60" t="s">
        <v>492</v>
      </c>
      <c r="Q35" s="47"/>
    </row>
    <row r="36" spans="1:17" s="48" customFormat="1" ht="86.45"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492</v>
      </c>
      <c r="Q36" s="47"/>
    </row>
    <row r="37" spans="1:17" s="48" customFormat="1" ht="111.6" customHeight="1">
      <c r="A37" s="19">
        <v>33</v>
      </c>
      <c r="B37" s="21" t="s">
        <v>30</v>
      </c>
      <c r="C37" s="21" t="s">
        <v>159</v>
      </c>
      <c r="D37" s="19" t="s">
        <v>421</v>
      </c>
      <c r="E37" s="21" t="s">
        <v>88</v>
      </c>
      <c r="F37" s="21"/>
      <c r="G37" s="21"/>
      <c r="H37" s="44"/>
      <c r="I37" s="21"/>
      <c r="J37" s="44"/>
      <c r="K37" s="21" t="s">
        <v>160</v>
      </c>
      <c r="L37" s="21"/>
      <c r="M37" s="44"/>
      <c r="N37" s="44"/>
      <c r="O37" s="60"/>
      <c r="P37" s="60" t="s">
        <v>492</v>
      </c>
      <c r="Q37" s="47"/>
    </row>
    <row r="38" spans="1:17" s="48" customFormat="1" ht="61.5" customHeight="1">
      <c r="A38" s="19">
        <v>34</v>
      </c>
      <c r="B38" s="21" t="s">
        <v>6</v>
      </c>
      <c r="C38" s="21" t="s">
        <v>172</v>
      </c>
      <c r="D38" s="21" t="s">
        <v>417</v>
      </c>
      <c r="E38" s="21" t="s">
        <v>493</v>
      </c>
      <c r="F38" s="21" t="s">
        <v>173</v>
      </c>
      <c r="G38" s="21" t="s">
        <v>174</v>
      </c>
      <c r="H38" s="44" t="s">
        <v>175</v>
      </c>
      <c r="I38" s="66">
        <v>387733637384</v>
      </c>
      <c r="J38" s="44" t="s">
        <v>176</v>
      </c>
      <c r="K38" s="21" t="s">
        <v>177</v>
      </c>
      <c r="L38" s="21" t="s">
        <v>178</v>
      </c>
      <c r="M38" s="21" t="s">
        <v>179</v>
      </c>
      <c r="N38" s="61" t="s">
        <v>180</v>
      </c>
      <c r="O38" s="60"/>
      <c r="P38" s="60" t="s">
        <v>492</v>
      </c>
      <c r="Q38" s="47"/>
    </row>
    <row r="39" spans="1:17" s="48" customFormat="1" ht="33.75">
      <c r="A39" s="19">
        <v>35</v>
      </c>
      <c r="B39" s="21" t="s">
        <v>61</v>
      </c>
      <c r="C39" s="21" t="s">
        <v>355</v>
      </c>
      <c r="D39" s="19" t="s">
        <v>60</v>
      </c>
      <c r="E39" s="21" t="s">
        <v>494</v>
      </c>
      <c r="F39" s="21" t="s">
        <v>173</v>
      </c>
      <c r="G39" s="21" t="s">
        <v>174</v>
      </c>
      <c r="H39" s="44"/>
      <c r="I39" s="66">
        <v>387733637384</v>
      </c>
      <c r="J39" s="44" t="s">
        <v>176</v>
      </c>
      <c r="K39" s="21" t="s">
        <v>356</v>
      </c>
      <c r="L39" s="21" t="s">
        <v>301</v>
      </c>
      <c r="M39" s="21" t="s">
        <v>301</v>
      </c>
      <c r="N39" s="21" t="s">
        <v>301</v>
      </c>
      <c r="O39" s="60"/>
      <c r="P39" s="60" t="s">
        <v>492</v>
      </c>
      <c r="Q39" s="47"/>
    </row>
    <row r="40" spans="1:17" s="48" customFormat="1" ht="52.5">
      <c r="A40" s="19">
        <v>36</v>
      </c>
      <c r="B40" s="21" t="s">
        <v>7</v>
      </c>
      <c r="C40" s="21" t="s">
        <v>181</v>
      </c>
      <c r="D40" s="21" t="s">
        <v>417</v>
      </c>
      <c r="E40" s="21" t="s">
        <v>88</v>
      </c>
      <c r="F40" s="21" t="s">
        <v>173</v>
      </c>
      <c r="G40" s="21" t="s">
        <v>174</v>
      </c>
      <c r="H40" s="61" t="s">
        <v>180</v>
      </c>
      <c r="I40" s="66">
        <v>387733637384</v>
      </c>
      <c r="J40" s="44" t="s">
        <v>176</v>
      </c>
      <c r="K40" s="21" t="s">
        <v>182</v>
      </c>
      <c r="L40" s="61" t="s">
        <v>180</v>
      </c>
      <c r="M40" s="61" t="s">
        <v>180</v>
      </c>
      <c r="N40" s="61" t="s">
        <v>180</v>
      </c>
      <c r="O40" s="60"/>
      <c r="P40" s="60" t="s">
        <v>492</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492</v>
      </c>
      <c r="Q41" s="47"/>
    </row>
    <row r="42" spans="1:17" s="48" customFormat="1" ht="158.44999999999999" customHeight="1">
      <c r="A42" s="19">
        <v>38</v>
      </c>
      <c r="B42" s="21" t="s">
        <v>44</v>
      </c>
      <c r="C42" s="21" t="s">
        <v>270</v>
      </c>
      <c r="D42" s="21" t="s">
        <v>428</v>
      </c>
      <c r="E42" s="21" t="s">
        <v>495</v>
      </c>
      <c r="F42" s="21" t="s">
        <v>272</v>
      </c>
      <c r="G42" s="21"/>
      <c r="H42" s="44"/>
      <c r="I42" s="21"/>
      <c r="J42" s="44"/>
      <c r="K42" s="21"/>
      <c r="L42" s="21" t="s">
        <v>273</v>
      </c>
      <c r="M42" s="32" t="s">
        <v>274</v>
      </c>
      <c r="N42" s="44"/>
      <c r="O42" s="60"/>
      <c r="P42" s="60" t="s">
        <v>492</v>
      </c>
      <c r="Q42" s="47"/>
    </row>
    <row r="43" spans="1:17" s="48" customFormat="1" ht="52.5">
      <c r="A43" s="19">
        <v>39</v>
      </c>
      <c r="B43" s="21" t="s">
        <v>12</v>
      </c>
      <c r="C43" s="21" t="s">
        <v>183</v>
      </c>
      <c r="D43" s="21" t="s">
        <v>417</v>
      </c>
      <c r="E43" s="21" t="s">
        <v>88</v>
      </c>
      <c r="F43" s="21" t="s">
        <v>184</v>
      </c>
      <c r="G43" s="21"/>
      <c r="H43" s="44"/>
      <c r="I43" s="21"/>
      <c r="J43" s="44"/>
      <c r="K43" s="21"/>
      <c r="L43" s="21"/>
      <c r="M43" s="44"/>
      <c r="N43" s="44"/>
      <c r="O43" s="60"/>
      <c r="P43" s="60" t="s">
        <v>492</v>
      </c>
      <c r="Q43" s="47"/>
    </row>
    <row r="44" spans="1:17" s="48" customFormat="1" ht="84">
      <c r="A44" s="19">
        <v>40</v>
      </c>
      <c r="B44" s="21" t="s">
        <v>13</v>
      </c>
      <c r="C44" s="21" t="s">
        <v>185</v>
      </c>
      <c r="D44" s="21" t="s">
        <v>417</v>
      </c>
      <c r="E44" s="21"/>
      <c r="F44" s="21" t="s">
        <v>187</v>
      </c>
      <c r="G44" s="21" t="s">
        <v>188</v>
      </c>
      <c r="H44" s="44" t="s">
        <v>189</v>
      </c>
      <c r="I44" s="21">
        <v>38733653093</v>
      </c>
      <c r="J44" s="44"/>
      <c r="K44" s="21"/>
      <c r="L44" s="21"/>
      <c r="M44" s="21"/>
      <c r="N44" s="44"/>
      <c r="O44" s="60"/>
      <c r="P44" s="60" t="s">
        <v>492</v>
      </c>
      <c r="Q44" s="47"/>
    </row>
    <row r="45" spans="1:17" s="48" customFormat="1" ht="104.45" customHeight="1">
      <c r="A45" s="19">
        <v>41</v>
      </c>
      <c r="B45" s="21" t="s">
        <v>14</v>
      </c>
      <c r="C45" s="21" t="s">
        <v>190</v>
      </c>
      <c r="D45" s="21" t="s">
        <v>417</v>
      </c>
      <c r="E45" s="21" t="s">
        <v>191</v>
      </c>
      <c r="F45" s="21" t="s">
        <v>192</v>
      </c>
      <c r="G45" s="21"/>
      <c r="H45" s="44"/>
      <c r="I45" s="21"/>
      <c r="J45" s="44"/>
      <c r="K45" s="21" t="s">
        <v>193</v>
      </c>
      <c r="L45" s="21"/>
      <c r="M45" s="21" t="s">
        <v>194</v>
      </c>
      <c r="N45" s="44"/>
      <c r="O45" s="60"/>
      <c r="P45" s="60" t="s">
        <v>492</v>
      </c>
      <c r="Q45" s="47"/>
    </row>
    <row r="46" spans="1:17" s="48" customFormat="1" ht="52.5">
      <c r="A46" s="19">
        <v>42</v>
      </c>
      <c r="B46" s="21" t="s">
        <v>15</v>
      </c>
      <c r="C46" s="21"/>
      <c r="D46" s="21" t="s">
        <v>417</v>
      </c>
      <c r="E46" s="21"/>
      <c r="F46" s="21" t="s">
        <v>97</v>
      </c>
      <c r="G46" s="21"/>
      <c r="H46" s="44"/>
      <c r="I46" s="21"/>
      <c r="J46" s="44"/>
      <c r="K46" s="21"/>
      <c r="L46" s="21"/>
      <c r="M46" s="44"/>
      <c r="N46" s="44"/>
      <c r="O46" s="60"/>
      <c r="P46" s="60" t="s">
        <v>492</v>
      </c>
      <c r="Q46" s="47"/>
    </row>
    <row r="47" spans="1:17" s="48" customFormat="1">
      <c r="A47" s="19">
        <v>43</v>
      </c>
      <c r="B47" s="21" t="s">
        <v>45</v>
      </c>
      <c r="C47" s="21"/>
      <c r="D47" s="21"/>
      <c r="E47" s="21"/>
      <c r="F47" s="21"/>
      <c r="G47" s="21"/>
      <c r="H47" s="44"/>
      <c r="I47" s="21"/>
      <c r="J47" s="44"/>
      <c r="K47" s="44" t="s">
        <v>280</v>
      </c>
      <c r="L47" s="21"/>
      <c r="M47" s="44"/>
      <c r="N47" s="44"/>
      <c r="O47" s="60"/>
      <c r="P47" s="60" t="s">
        <v>492</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492</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492</v>
      </c>
      <c r="Q49" s="47"/>
    </row>
    <row r="50" spans="1:17" s="48" customFormat="1" ht="29.45" customHeight="1">
      <c r="A50" s="19">
        <v>46</v>
      </c>
      <c r="B50" s="21" t="s">
        <v>18</v>
      </c>
      <c r="C50" s="21"/>
      <c r="D50" s="19" t="s">
        <v>2</v>
      </c>
      <c r="E50" s="21"/>
      <c r="F50" s="21" t="s">
        <v>97</v>
      </c>
      <c r="G50" s="21"/>
      <c r="H50" s="44"/>
      <c r="I50" s="21"/>
      <c r="J50" s="44"/>
      <c r="K50" s="21"/>
      <c r="L50" s="21"/>
      <c r="M50" s="44"/>
      <c r="N50" s="44"/>
      <c r="O50" s="60"/>
      <c r="P50" s="60" t="s">
        <v>492</v>
      </c>
      <c r="Q50" s="47"/>
    </row>
    <row r="51" spans="1:17" s="48" customFormat="1" ht="123.75">
      <c r="A51" s="19">
        <v>47</v>
      </c>
      <c r="B51" s="21" t="s">
        <v>36</v>
      </c>
      <c r="C51" s="21" t="s">
        <v>232</v>
      </c>
      <c r="D51" s="19" t="s">
        <v>435</v>
      </c>
      <c r="E51" s="21" t="s">
        <v>88</v>
      </c>
      <c r="F51" s="21" t="s">
        <v>233</v>
      </c>
      <c r="G51" s="21" t="s">
        <v>234</v>
      </c>
      <c r="H51" s="44" t="s">
        <v>235</v>
      </c>
      <c r="I51" s="21">
        <v>38733214249</v>
      </c>
      <c r="J51" s="44"/>
      <c r="K51" s="21"/>
      <c r="L51" s="21"/>
      <c r="M51" s="44" t="s">
        <v>235</v>
      </c>
      <c r="N51" s="44" t="s">
        <v>235</v>
      </c>
      <c r="O51" s="60"/>
      <c r="P51" s="60" t="s">
        <v>492</v>
      </c>
      <c r="Q51" s="47"/>
    </row>
    <row r="52" spans="1:17" s="48" customFormat="1" ht="31.5">
      <c r="A52" s="19">
        <v>48</v>
      </c>
      <c r="B52" s="21" t="s">
        <v>37</v>
      </c>
      <c r="C52" s="21" t="s">
        <v>230</v>
      </c>
      <c r="D52" s="21" t="s">
        <v>436</v>
      </c>
      <c r="E52" s="21" t="s">
        <v>222</v>
      </c>
      <c r="F52" s="21" t="s">
        <v>231</v>
      </c>
      <c r="G52" s="21"/>
      <c r="H52" s="60"/>
      <c r="I52" s="60"/>
      <c r="J52" s="60"/>
      <c r="K52" s="60"/>
      <c r="L52" s="60"/>
      <c r="M52" s="60"/>
      <c r="N52" s="60"/>
      <c r="O52" s="60"/>
      <c r="P52" s="60" t="s">
        <v>492</v>
      </c>
      <c r="Q52" s="47"/>
    </row>
    <row r="53" spans="1:17" s="48" customFormat="1" ht="71.45" customHeight="1">
      <c r="A53" s="19">
        <v>49</v>
      </c>
      <c r="B53" s="21" t="s">
        <v>29</v>
      </c>
      <c r="C53" s="21" t="s">
        <v>161</v>
      </c>
      <c r="D53" s="19" t="s">
        <v>421</v>
      </c>
      <c r="E53" s="21" t="s">
        <v>88</v>
      </c>
      <c r="F53" s="21" t="s">
        <v>97</v>
      </c>
      <c r="G53" s="21"/>
      <c r="H53" s="44"/>
      <c r="I53" s="21"/>
      <c r="J53" s="44"/>
      <c r="K53" s="21" t="s">
        <v>162</v>
      </c>
      <c r="L53" s="21"/>
      <c r="M53" s="44"/>
      <c r="N53" s="44"/>
      <c r="O53" s="60"/>
      <c r="P53" s="60" t="s">
        <v>492</v>
      </c>
      <c r="Q53" s="47"/>
    </row>
    <row r="54" spans="1:17" ht="52.5">
      <c r="A54" s="19">
        <v>50</v>
      </c>
      <c r="B54" s="21" t="s">
        <v>31</v>
      </c>
      <c r="C54" s="21" t="s">
        <v>163</v>
      </c>
      <c r="D54" s="19" t="s">
        <v>421</v>
      </c>
      <c r="E54" s="21" t="s">
        <v>110</v>
      </c>
      <c r="F54" s="21" t="s">
        <v>164</v>
      </c>
      <c r="G54" s="21"/>
      <c r="H54" s="44"/>
      <c r="I54" s="21"/>
      <c r="J54" s="44"/>
      <c r="K54" s="21"/>
      <c r="L54" s="21"/>
      <c r="M54" s="44"/>
      <c r="N54" s="44"/>
      <c r="O54" s="60"/>
      <c r="P54" s="60" t="s">
        <v>492</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496</v>
      </c>
    </row>
    <row r="56" spans="1:17" ht="102.6" customHeight="1">
      <c r="A56" s="19">
        <v>52</v>
      </c>
      <c r="B56" s="21" t="s">
        <v>16</v>
      </c>
      <c r="C56" s="21" t="s">
        <v>195</v>
      </c>
      <c r="D56" s="21" t="s">
        <v>417</v>
      </c>
      <c r="E56" s="60"/>
      <c r="F56" s="60"/>
      <c r="G56" s="60"/>
      <c r="H56" s="63" t="s">
        <v>196</v>
      </c>
      <c r="I56" s="60"/>
      <c r="J56" s="60"/>
      <c r="K56" s="21" t="s">
        <v>197</v>
      </c>
      <c r="L56" s="60"/>
      <c r="M56" s="60"/>
      <c r="N56" s="60"/>
      <c r="O56" s="60"/>
      <c r="P56" s="60" t="s">
        <v>496</v>
      </c>
    </row>
    <row r="57" spans="1:17" ht="66.95" customHeight="1">
      <c r="A57" s="19">
        <v>53</v>
      </c>
      <c r="B57" s="21" t="s">
        <v>19</v>
      </c>
      <c r="C57" s="21" t="s">
        <v>165</v>
      </c>
      <c r="D57" s="21" t="s">
        <v>440</v>
      </c>
      <c r="E57" s="60"/>
      <c r="F57" s="60"/>
      <c r="G57" s="60"/>
      <c r="H57" s="60"/>
      <c r="I57" s="60"/>
      <c r="J57" s="60"/>
      <c r="K57" s="21" t="s">
        <v>166</v>
      </c>
      <c r="L57" s="60"/>
      <c r="M57" s="60"/>
      <c r="N57" s="60"/>
      <c r="O57" s="60"/>
      <c r="P57" s="60" t="s">
        <v>496</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496</v>
      </c>
    </row>
    <row r="59" spans="1:17" ht="93" customHeight="1">
      <c r="A59" s="19">
        <v>55</v>
      </c>
      <c r="B59" s="21" t="s">
        <v>48</v>
      </c>
      <c r="C59" s="21" t="s">
        <v>251</v>
      </c>
      <c r="D59" s="21" t="s">
        <v>40</v>
      </c>
      <c r="E59" s="60"/>
      <c r="F59" s="60"/>
      <c r="G59" s="60"/>
      <c r="H59" s="44"/>
      <c r="I59" s="60"/>
      <c r="J59" s="60"/>
      <c r="K59" s="21" t="s">
        <v>252</v>
      </c>
      <c r="L59" s="60"/>
      <c r="M59" s="60"/>
      <c r="N59" s="60"/>
      <c r="O59" s="60"/>
      <c r="P59" s="60" t="s">
        <v>496</v>
      </c>
    </row>
    <row r="60" spans="1:17" ht="83.1" customHeight="1">
      <c r="A60" s="19">
        <v>56</v>
      </c>
      <c r="B60" s="21" t="s">
        <v>58</v>
      </c>
      <c r="C60" s="21" t="s">
        <v>309</v>
      </c>
      <c r="D60" s="21" t="s">
        <v>51</v>
      </c>
      <c r="E60" s="60"/>
      <c r="F60" s="60"/>
      <c r="G60" s="60"/>
      <c r="H60" s="44"/>
      <c r="I60" s="60"/>
      <c r="J60" s="60"/>
      <c r="K60" s="21" t="s">
        <v>310</v>
      </c>
      <c r="L60" s="60"/>
      <c r="M60" s="60"/>
      <c r="N60" s="60"/>
      <c r="O60" s="60"/>
      <c r="P60" s="60" t="s">
        <v>496</v>
      </c>
    </row>
    <row r="61" spans="1:17" ht="66.95" customHeight="1">
      <c r="A61" s="19">
        <v>57</v>
      </c>
      <c r="B61" s="21" t="s">
        <v>49</v>
      </c>
      <c r="C61" s="21" t="s">
        <v>253</v>
      </c>
      <c r="D61" s="21" t="s">
        <v>40</v>
      </c>
      <c r="E61" s="60"/>
      <c r="F61" s="60"/>
      <c r="G61" s="60"/>
      <c r="H61" s="21"/>
      <c r="I61" s="60"/>
      <c r="J61" s="60"/>
      <c r="K61" s="21" t="s">
        <v>254</v>
      </c>
      <c r="L61" s="60"/>
      <c r="M61" s="60"/>
      <c r="N61" s="60"/>
      <c r="O61" s="60"/>
      <c r="P61" s="60" t="s">
        <v>496</v>
      </c>
    </row>
    <row r="62" spans="1:17" ht="77.099999999999994" customHeight="1">
      <c r="A62" s="19">
        <v>58</v>
      </c>
      <c r="B62" s="21" t="s">
        <v>22</v>
      </c>
      <c r="C62" s="21" t="s">
        <v>198</v>
      </c>
      <c r="D62" s="21" t="s">
        <v>417</v>
      </c>
      <c r="E62" s="60"/>
      <c r="F62" s="60"/>
      <c r="G62" s="60"/>
      <c r="H62" s="21"/>
      <c r="I62" s="60"/>
      <c r="J62" s="60"/>
      <c r="K62" s="21" t="s">
        <v>200</v>
      </c>
      <c r="L62" s="60"/>
      <c r="M62" s="60"/>
      <c r="N62" s="60"/>
      <c r="O62" s="60"/>
      <c r="P62" s="60" t="s">
        <v>496</v>
      </c>
    </row>
    <row r="63" spans="1:17" ht="99.6" customHeight="1">
      <c r="A63" s="19">
        <v>59</v>
      </c>
      <c r="B63" s="22" t="s">
        <v>23</v>
      </c>
      <c r="C63" s="22" t="s">
        <v>201</v>
      </c>
      <c r="D63" s="21" t="s">
        <v>417</v>
      </c>
      <c r="E63" s="60"/>
      <c r="F63" s="60"/>
      <c r="G63" s="60"/>
      <c r="H63" s="21"/>
      <c r="I63" s="60"/>
      <c r="J63" s="60"/>
      <c r="K63" s="21" t="s">
        <v>202</v>
      </c>
      <c r="L63" s="60"/>
      <c r="M63" s="60"/>
      <c r="N63" s="60"/>
      <c r="O63" s="60"/>
      <c r="P63" s="60" t="s">
        <v>496</v>
      </c>
    </row>
    <row r="64" spans="1:17" ht="72" customHeight="1">
      <c r="A64" s="19">
        <v>60</v>
      </c>
      <c r="B64" s="21" t="s">
        <v>24</v>
      </c>
      <c r="C64" s="21"/>
      <c r="D64" s="21" t="s">
        <v>417</v>
      </c>
      <c r="E64" s="60"/>
      <c r="F64" s="60"/>
      <c r="G64" s="60"/>
      <c r="H64" s="44"/>
      <c r="I64" s="60"/>
      <c r="J64" s="60"/>
      <c r="K64" s="21"/>
      <c r="L64" s="60"/>
      <c r="M64" s="60"/>
      <c r="N64" s="60"/>
      <c r="O64" s="60"/>
      <c r="P64" s="60" t="s">
        <v>496</v>
      </c>
    </row>
  </sheetData>
  <dataValidations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497</v>
      </c>
      <c r="B1" s="1" t="s">
        <v>498</v>
      </c>
      <c r="C1" s="1" t="s">
        <v>499</v>
      </c>
      <c r="D1" s="1" t="s">
        <v>0</v>
      </c>
      <c r="E1" s="1" t="s">
        <v>2</v>
      </c>
      <c r="F1" s="1" t="s">
        <v>500</v>
      </c>
      <c r="G1" s="1" t="s">
        <v>51</v>
      </c>
      <c r="H1" s="1" t="s">
        <v>40</v>
      </c>
      <c r="I1" s="1" t="s">
        <v>60</v>
      </c>
    </row>
    <row r="2" spans="1:9" ht="94.5">
      <c r="A2" t="s">
        <v>418</v>
      </c>
      <c r="B2" t="s">
        <v>501</v>
      </c>
      <c r="C2" t="s">
        <v>88</v>
      </c>
      <c r="D2" t="s">
        <v>2</v>
      </c>
      <c r="E2" t="s">
        <v>3</v>
      </c>
      <c r="F2" t="s">
        <v>3</v>
      </c>
      <c r="G2" s="21" t="s">
        <v>3</v>
      </c>
      <c r="H2" s="21" t="s">
        <v>3</v>
      </c>
      <c r="I2" s="21" t="s">
        <v>3</v>
      </c>
    </row>
    <row r="3" spans="1:9" ht="63">
      <c r="A3" t="s">
        <v>502</v>
      </c>
      <c r="B3" t="s">
        <v>495</v>
      </c>
      <c r="C3" t="s">
        <v>222</v>
      </c>
      <c r="D3" t="s">
        <v>33</v>
      </c>
      <c r="E3" t="s">
        <v>4</v>
      </c>
      <c r="F3" t="s">
        <v>4</v>
      </c>
      <c r="G3" s="22" t="s">
        <v>52</v>
      </c>
      <c r="H3" s="21" t="s">
        <v>41</v>
      </c>
      <c r="I3" s="21" t="s">
        <v>41</v>
      </c>
    </row>
    <row r="4" spans="1:9" ht="115.5">
      <c r="A4" t="s">
        <v>503</v>
      </c>
      <c r="B4" t="s">
        <v>504</v>
      </c>
      <c r="C4" t="s">
        <v>186</v>
      </c>
      <c r="D4" t="s">
        <v>51</v>
      </c>
      <c r="E4" t="s">
        <v>5</v>
      </c>
      <c r="F4" t="s">
        <v>5</v>
      </c>
      <c r="G4" s="21" t="s">
        <v>4</v>
      </c>
      <c r="H4" s="24" t="s">
        <v>5</v>
      </c>
      <c r="I4" s="24" t="s">
        <v>5</v>
      </c>
    </row>
    <row r="5" spans="1:9" ht="115.5">
      <c r="C5" t="s">
        <v>271</v>
      </c>
      <c r="D5" t="s">
        <v>40</v>
      </c>
      <c r="E5" t="s">
        <v>6</v>
      </c>
      <c r="F5" t="s">
        <v>6</v>
      </c>
      <c r="G5" s="24" t="s">
        <v>5</v>
      </c>
      <c r="H5" s="21" t="s">
        <v>6</v>
      </c>
      <c r="I5" s="21" t="s">
        <v>6</v>
      </c>
    </row>
    <row r="6" spans="1:9" ht="94.5">
      <c r="C6" t="s">
        <v>199</v>
      </c>
      <c r="D6" t="s">
        <v>60</v>
      </c>
      <c r="E6" t="s">
        <v>7</v>
      </c>
      <c r="F6" t="s">
        <v>7</v>
      </c>
      <c r="G6" s="21" t="s">
        <v>6</v>
      </c>
      <c r="H6" s="21" t="s">
        <v>7</v>
      </c>
      <c r="I6" s="21" t="s">
        <v>61</v>
      </c>
    </row>
    <row r="7" spans="1:9" ht="94.5">
      <c r="C7" t="s">
        <v>505</v>
      </c>
      <c r="E7" t="s">
        <v>8</v>
      </c>
      <c r="F7" t="s">
        <v>8</v>
      </c>
      <c r="G7" s="21" t="s">
        <v>7</v>
      </c>
      <c r="H7" s="21" t="s">
        <v>8</v>
      </c>
      <c r="I7" s="21" t="s">
        <v>7</v>
      </c>
    </row>
    <row r="8" spans="1:9" ht="94.5">
      <c r="C8" t="s">
        <v>110</v>
      </c>
      <c r="E8" t="s">
        <v>9</v>
      </c>
      <c r="F8" t="s">
        <v>9</v>
      </c>
      <c r="G8" s="21" t="s">
        <v>8</v>
      </c>
      <c r="H8" s="21" t="s">
        <v>9</v>
      </c>
      <c r="I8" s="19" t="s">
        <v>62</v>
      </c>
    </row>
    <row r="9" spans="1:9" ht="94.5">
      <c r="C9" s="9" t="s">
        <v>100</v>
      </c>
      <c r="E9" t="s">
        <v>10</v>
      </c>
      <c r="F9" t="s">
        <v>10</v>
      </c>
      <c r="G9" s="21" t="s">
        <v>9</v>
      </c>
      <c r="H9" s="21" t="s">
        <v>10</v>
      </c>
      <c r="I9" s="21" t="s">
        <v>8</v>
      </c>
    </row>
    <row r="10" spans="1:9" ht="94.5">
      <c r="C10" t="s">
        <v>427</v>
      </c>
      <c r="E10" t="s">
        <v>11</v>
      </c>
      <c r="F10" t="s">
        <v>34</v>
      </c>
      <c r="G10" s="21" t="s">
        <v>10</v>
      </c>
      <c r="H10" s="19" t="s">
        <v>42</v>
      </c>
      <c r="I10" s="21" t="s">
        <v>9</v>
      </c>
    </row>
    <row r="11" spans="1:9" ht="84">
      <c r="E11" t="s">
        <v>12</v>
      </c>
      <c r="F11" t="s">
        <v>35</v>
      </c>
      <c r="G11" s="21" t="s">
        <v>34</v>
      </c>
      <c r="H11" s="21" t="s">
        <v>43</v>
      </c>
      <c r="I11" s="21" t="s">
        <v>10</v>
      </c>
    </row>
    <row r="12" spans="1:9" ht="115.5">
      <c r="E12" t="s">
        <v>13</v>
      </c>
      <c r="F12" t="s">
        <v>11</v>
      </c>
      <c r="G12" s="21" t="s">
        <v>35</v>
      </c>
      <c r="H12" s="21" t="s">
        <v>44</v>
      </c>
      <c r="I12" s="19" t="s">
        <v>42</v>
      </c>
    </row>
    <row r="13" spans="1:9" ht="123.75">
      <c r="E13" t="s">
        <v>14</v>
      </c>
      <c r="F13" t="s">
        <v>12</v>
      </c>
      <c r="G13" s="19" t="s">
        <v>11</v>
      </c>
      <c r="H13" s="21" t="s">
        <v>12</v>
      </c>
      <c r="I13" s="21" t="s">
        <v>43</v>
      </c>
    </row>
    <row r="14" spans="1:9" ht="115.5">
      <c r="E14" t="s">
        <v>15</v>
      </c>
      <c r="F14" t="s">
        <v>13</v>
      </c>
      <c r="G14" s="21" t="s">
        <v>44</v>
      </c>
      <c r="H14" s="21" t="s">
        <v>13</v>
      </c>
      <c r="I14" s="21" t="s">
        <v>44</v>
      </c>
    </row>
    <row r="15" spans="1:9" ht="84">
      <c r="E15" t="s">
        <v>16</v>
      </c>
      <c r="F15" t="s">
        <v>14</v>
      </c>
      <c r="G15" s="21" t="s">
        <v>12</v>
      </c>
      <c r="H15" s="21" t="s">
        <v>14</v>
      </c>
      <c r="I15" s="21" t="s">
        <v>12</v>
      </c>
    </row>
    <row r="16" spans="1:9" ht="52.5">
      <c r="E16" t="s">
        <v>17</v>
      </c>
      <c r="F16" t="s">
        <v>15</v>
      </c>
      <c r="G16" s="21" t="s">
        <v>13</v>
      </c>
      <c r="H16" s="21" t="s">
        <v>15</v>
      </c>
      <c r="I16" s="21" t="s">
        <v>13</v>
      </c>
    </row>
    <row r="17" spans="5:9" ht="90">
      <c r="E17" t="s">
        <v>18</v>
      </c>
      <c r="F17" t="s">
        <v>16</v>
      </c>
      <c r="G17" s="19" t="s">
        <v>53</v>
      </c>
      <c r="H17" s="21" t="s">
        <v>45</v>
      </c>
      <c r="I17" s="21" t="s">
        <v>14</v>
      </c>
    </row>
    <row r="18" spans="5:9" ht="84">
      <c r="E18" t="s">
        <v>19</v>
      </c>
      <c r="F18" t="s">
        <v>17</v>
      </c>
      <c r="G18" s="21" t="s">
        <v>14</v>
      </c>
      <c r="H18" s="21" t="s">
        <v>16</v>
      </c>
      <c r="I18" s="21" t="s">
        <v>15</v>
      </c>
    </row>
    <row r="19" spans="5:9" ht="101.25">
      <c r="E19" t="s">
        <v>20</v>
      </c>
      <c r="F19" t="s">
        <v>19</v>
      </c>
      <c r="G19" s="21" t="s">
        <v>15</v>
      </c>
      <c r="H19" s="19" t="s">
        <v>17</v>
      </c>
      <c r="I19" s="21" t="s">
        <v>45</v>
      </c>
    </row>
    <row r="20" spans="5:9" ht="67.5">
      <c r="E20" t="s">
        <v>21</v>
      </c>
      <c r="F20" t="s">
        <v>20</v>
      </c>
      <c r="G20" s="21" t="s">
        <v>45</v>
      </c>
      <c r="H20" s="19" t="s">
        <v>46</v>
      </c>
      <c r="I20" s="21" t="s">
        <v>16</v>
      </c>
    </row>
    <row r="21" spans="5:9" ht="189">
      <c r="E21" t="s">
        <v>22</v>
      </c>
      <c r="F21" t="s">
        <v>21</v>
      </c>
      <c r="G21" s="21" t="s">
        <v>54</v>
      </c>
      <c r="H21" s="21" t="s">
        <v>19</v>
      </c>
      <c r="I21" s="19" t="s">
        <v>17</v>
      </c>
    </row>
    <row r="22" spans="5:9" ht="409.5">
      <c r="E22" t="s">
        <v>23</v>
      </c>
      <c r="F22" t="s">
        <v>22</v>
      </c>
      <c r="G22" s="21" t="s">
        <v>55</v>
      </c>
      <c r="H22" s="21" t="s">
        <v>47</v>
      </c>
      <c r="I22" s="68" t="s">
        <v>63</v>
      </c>
    </row>
    <row r="23" spans="5:9" ht="147">
      <c r="E23" t="s">
        <v>24</v>
      </c>
      <c r="F23" t="s">
        <v>23</v>
      </c>
      <c r="G23" s="21" t="s">
        <v>56</v>
      </c>
      <c r="H23" s="21" t="s">
        <v>48</v>
      </c>
      <c r="I23" s="68" t="s">
        <v>63</v>
      </c>
    </row>
    <row r="24" spans="5:9" ht="45">
      <c r="E24" t="s">
        <v>25</v>
      </c>
      <c r="F24" t="s">
        <v>24</v>
      </c>
      <c r="G24" s="21" t="s">
        <v>16</v>
      </c>
      <c r="H24" s="19" t="s">
        <v>20</v>
      </c>
      <c r="I24" s="21" t="s">
        <v>19</v>
      </c>
    </row>
    <row r="25" spans="5:9" ht="101.25">
      <c r="E25" t="s">
        <v>26</v>
      </c>
      <c r="F25" t="s">
        <v>25</v>
      </c>
      <c r="G25" s="19" t="s">
        <v>17</v>
      </c>
      <c r="H25" s="21" t="s">
        <v>49</v>
      </c>
      <c r="I25" s="19" t="s">
        <v>20</v>
      </c>
    </row>
    <row r="26" spans="5:9" ht="33.75">
      <c r="E26" t="s">
        <v>27</v>
      </c>
      <c r="F26" t="s">
        <v>36</v>
      </c>
      <c r="G26" s="21" t="s">
        <v>19</v>
      </c>
      <c r="H26" s="19" t="s">
        <v>21</v>
      </c>
      <c r="I26" s="19" t="s">
        <v>21</v>
      </c>
    </row>
    <row r="27" spans="5:9" ht="52.5">
      <c r="E27" t="s">
        <v>28</v>
      </c>
      <c r="F27" t="s">
        <v>26</v>
      </c>
      <c r="G27" s="21" t="s">
        <v>57</v>
      </c>
      <c r="H27" s="21" t="s">
        <v>22</v>
      </c>
      <c r="I27" s="21" t="s">
        <v>22</v>
      </c>
    </row>
    <row r="28" spans="5:9" ht="84">
      <c r="E28" t="s">
        <v>29</v>
      </c>
      <c r="F28" t="s">
        <v>27</v>
      </c>
      <c r="G28" s="21" t="s">
        <v>58</v>
      </c>
      <c r="H28" s="22" t="s">
        <v>23</v>
      </c>
      <c r="I28" s="22" t="s">
        <v>23</v>
      </c>
    </row>
    <row r="29" spans="5:9" ht="94.5">
      <c r="E29" t="s">
        <v>30</v>
      </c>
      <c r="F29" t="s">
        <v>28</v>
      </c>
      <c r="G29" s="19" t="s">
        <v>20</v>
      </c>
      <c r="H29" s="21" t="s">
        <v>24</v>
      </c>
      <c r="I29" s="21" t="s">
        <v>24</v>
      </c>
    </row>
    <row r="30" spans="5:9" ht="56.25">
      <c r="E30" t="s">
        <v>31</v>
      </c>
      <c r="F30" t="s">
        <v>37</v>
      </c>
      <c r="G30" s="19" t="s">
        <v>21</v>
      </c>
      <c r="H30" s="19" t="s">
        <v>25</v>
      </c>
      <c r="I30" s="19" t="s">
        <v>25</v>
      </c>
    </row>
    <row r="31" spans="5:9" ht="52.5">
      <c r="F31" t="s">
        <v>38</v>
      </c>
      <c r="G31" s="21" t="s">
        <v>22</v>
      </c>
      <c r="H31" s="21" t="s">
        <v>26</v>
      </c>
      <c r="I31" s="21" t="s">
        <v>26</v>
      </c>
    </row>
    <row r="32" spans="5:9" ht="90">
      <c r="F32" t="s">
        <v>29</v>
      </c>
      <c r="G32" s="22" t="s">
        <v>23</v>
      </c>
      <c r="H32" s="21" t="s">
        <v>27</v>
      </c>
      <c r="I32" s="19" t="s">
        <v>64</v>
      </c>
    </row>
    <row r="33" spans="6:9" ht="94.5">
      <c r="F33" t="s">
        <v>30</v>
      </c>
      <c r="G33" s="21" t="s">
        <v>24</v>
      </c>
      <c r="I33" s="21" t="s">
        <v>27</v>
      </c>
    </row>
    <row r="34" spans="6:9" ht="90">
      <c r="F34" t="s">
        <v>31</v>
      </c>
      <c r="G34" s="19" t="s">
        <v>25</v>
      </c>
      <c r="I34" s="19" t="s">
        <v>65</v>
      </c>
    </row>
    <row r="35" spans="6:9" ht="112.5">
      <c r="G35" s="21" t="s">
        <v>36</v>
      </c>
      <c r="I35" s="19" t="s">
        <v>66</v>
      </c>
    </row>
    <row r="36" spans="6:9" ht="112.5">
      <c r="G36" s="21" t="s">
        <v>26</v>
      </c>
      <c r="I36" s="19" t="s">
        <v>67</v>
      </c>
    </row>
    <row r="37" spans="6:9" ht="101.25">
      <c r="G37" s="21" t="s">
        <v>27</v>
      </c>
      <c r="I37" s="19" t="s">
        <v>68</v>
      </c>
    </row>
    <row r="38" spans="6:9" ht="115.5">
      <c r="G38" s="21" t="s">
        <v>28</v>
      </c>
      <c r="I38" s="19" t="s">
        <v>69</v>
      </c>
    </row>
    <row r="39" spans="6:9" ht="84">
      <c r="G39" s="29" t="s">
        <v>38</v>
      </c>
      <c r="I39" s="19" t="s">
        <v>70</v>
      </c>
    </row>
    <row r="40" spans="6:9" ht="84">
      <c r="G40" s="29" t="s">
        <v>38</v>
      </c>
    </row>
    <row r="41" spans="6:9" ht="84">
      <c r="G41" s="29" t="s">
        <v>38</v>
      </c>
    </row>
    <row r="42" spans="6:9" ht="31.5">
      <c r="G42" s="21" t="s">
        <v>29</v>
      </c>
    </row>
    <row r="43" spans="6:9" ht="31.5">
      <c r="G43" s="21" t="s">
        <v>30</v>
      </c>
    </row>
    <row r="44" spans="6:9" ht="31.5">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Filter</vt:lpstr>
      <vt:lpstr>Pivot</vt:lpstr>
      <vt:lpstr>All (2)</vt:lpstr>
      <vt:lpstr>HOME</vt:lpstr>
      <vt:lpstr>Dijagnoza</vt:lpstr>
      <vt:lpstr>1</vt:lpstr>
      <vt:lpstr>2</vt:lpstr>
      <vt:lpstr>3</vt:lpstr>
      <vt:lpstr>4</vt:lpstr>
      <vt:lpstr>5</vt:lpstr>
      <vt:lpstr>Dashboard</vt:lpstr>
      <vt:lpstr>Administrativni postupci</vt:lpstr>
      <vt:lpstr>Diskrecione usluge</vt:lpstr>
      <vt:lpstr>Neinstitucionalizirana prava</vt:lpstr>
      <vt:lpstr>RASPORED ZA INFOGRAFIKU</vt:lpstr>
      <vt:lpstr>INFOGRAF</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2023-11-08T22:15:29Z</dcterms:modified>
  <cp:category/>
  <cp:contentStatus/>
</cp:coreProperties>
</file>
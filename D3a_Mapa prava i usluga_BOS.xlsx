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66925"/>
  <mc:AlternateContent xmlns:mc="http://schemas.openxmlformats.org/markup-compatibility/2006">
    <mc:Choice Requires="x15">
      <x15ac:absPath xmlns:x15ac="http://schemas.microsoft.com/office/spreadsheetml/2010/11/ac" url="C:\Users\Anes-PC\Github\amra-test\"/>
    </mc:Choice>
  </mc:AlternateContent>
  <xr:revisionPtr revIDLastSave="0" documentId="13_ncr:1_{53927A9C-B236-4D98-84CF-A85AC6FA3050}" xr6:coauthVersionLast="47" xr6:coauthVersionMax="47" xr10:uidLastSave="{00000000-0000-0000-0000-000000000000}"/>
  <bookViews>
    <workbookView xWindow="-108" yWindow="-108" windowWidth="23256" windowHeight="12576" tabRatio="975" firstSheet="4" activeTab="13" xr2:uid="{6DCFD875-645F-4B85-AAFB-14BA6F769E6A}"/>
  </bookViews>
  <sheets>
    <sheet name="Filter" sheetId="14" state="hidden" r:id="rId1"/>
    <sheet name="Pivot" sheetId="18" state="hidden" r:id="rId2"/>
    <sheet name="All (2)" sheetId="17" state="hidden" r:id="rId3"/>
    <sheet name="Sheet1" sheetId="25" r:id="rId4"/>
    <sheet name="HOME" sheetId="6" r:id="rId5"/>
    <sheet name="Dijagnoza" sheetId="24" r:id="rId6"/>
    <sheet name="Predskolska" sheetId="8" r:id="rId7"/>
    <sheet name="Skolska" sheetId="9" r:id="rId8"/>
    <sheet name="Radni vijek" sheetId="11" r:id="rId9"/>
    <sheet name="Treca dob" sheetId="12" r:id="rId10"/>
    <sheet name="Dashboard" sheetId="3" state="hidden" r:id="rId11"/>
    <sheet name="Neinstitucionalizirana prava" sheetId="13" r:id="rId12"/>
    <sheet name="Administrativni postupci" sheetId="1" r:id="rId13"/>
    <sheet name="Diskrecione usluge" sheetId="5" r:id="rId14"/>
    <sheet name="All" sheetId="15" state="hidden" r:id="rId15"/>
    <sheet name="Sheet2" sheetId="2" state="hidden" r:id="rId16"/>
  </sheets>
  <externalReferences>
    <externalReference r:id="rId17"/>
  </externalReferences>
  <definedNames>
    <definedName name="_xlnm._FilterDatabase" localSheetId="12" hidden="1">'Administrativni postupci'!$A$1:$Q$31</definedName>
    <definedName name="_xlnm._FilterDatabase" localSheetId="14" hidden="1">All!$A$1:$P$64</definedName>
    <definedName name="_xlnm._FilterDatabase" localSheetId="2" hidden="1">'All (2)'!$A$1:$P$175</definedName>
    <definedName name="_xlnm._FilterDatabase" localSheetId="13" hidden="1">'Diskrecione usluge'!$O$1:$O$28</definedName>
    <definedName name="All" localSheetId="3">[1]All!$B$35:$P$54</definedName>
    <definedName name="All">All!$B$35:$P$54</definedName>
    <definedName name="Ambulanta__Sve_na_jednom_mjestu__za_djecu_i_osobe_s_poteškoćama_u_razvoju" localSheetId="3">[1]Sheet2!$E$2:INDEX([1]Sheet2!$E:$E,COUNTA([1]Sheet2!$E:$E))</definedName>
    <definedName name="Ambulanta__Sve_na_jednom_mjestu__za_djecu_i_osobe_s_poteškoćama_u_razvoju">Sheet2!$E$2:INDEX(Sheet2!$E:$E,COUNTA(Sheet2!$E:$E))</definedName>
    <definedName name="dob">Sheet2!$D$2:$D$8</definedName>
    <definedName name="N" localSheetId="3">OFFSET([1]Sheet2!$E$2, 0, 0, COUNTA([1]Sheet2!$E:$E), 1)</definedName>
    <definedName name="N">OFFSET(Sheet2!$E$2, 0, 0, COUNTA(Sheet2!$E:$E), 1)</definedName>
    <definedName name="Novorodjence">Sheet2!$E$2:$E$32</definedName>
    <definedName name="Postupci">'Administrativni postupci'!$B$2:$B$45</definedName>
    <definedName name="Slicer_Ministartvo_Organizacija">#N/A</definedName>
    <definedName name="Slicer_Tip_usluge_prava_benefita">#N/A</definedName>
    <definedName name="Slicer_Životna_dob">#N/A</definedName>
    <definedName name="Zivotna_dob">Sheet2!$D$1:$D$6</definedName>
  </definedNames>
  <calcPr calcId="191028"/>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5" l="1"/>
  <c r="P3" i="5"/>
  <c r="O4" i="5"/>
  <c r="P4" i="5"/>
  <c r="O5" i="5"/>
  <c r="P5" i="5"/>
  <c r="O6" i="5"/>
  <c r="P6" i="5"/>
  <c r="O7" i="5"/>
  <c r="P7" i="5"/>
  <c r="O8" i="5"/>
  <c r="P8" i="5"/>
  <c r="O9" i="5"/>
  <c r="P9" i="5"/>
  <c r="O10" i="5"/>
  <c r="P10" i="5"/>
  <c r="O11" i="5"/>
  <c r="P11" i="5"/>
  <c r="O12" i="5"/>
  <c r="P12" i="5"/>
  <c r="O13" i="5"/>
  <c r="P13" i="5"/>
  <c r="O14" i="5"/>
  <c r="P14" i="5"/>
  <c r="O15" i="5"/>
  <c r="P15" i="5"/>
  <c r="O16" i="5"/>
  <c r="P16" i="5"/>
  <c r="O17" i="5"/>
  <c r="P17" i="5"/>
  <c r="O18" i="5"/>
  <c r="P18" i="5"/>
  <c r="O19" i="5"/>
  <c r="P19" i="5"/>
  <c r="O20" i="5"/>
  <c r="P20" i="5"/>
  <c r="O21" i="5"/>
  <c r="P21" i="5"/>
  <c r="O22" i="5"/>
  <c r="P22" i="5"/>
  <c r="O23" i="5"/>
  <c r="P23" i="5"/>
  <c r="O24" i="5"/>
  <c r="P24" i="5"/>
  <c r="P2" i="5"/>
  <c r="O2" i="5"/>
  <c r="R33" i="1"/>
  <c r="S33" i="1"/>
  <c r="S32" i="1"/>
  <c r="R32" i="1"/>
  <c r="R3" i="1"/>
  <c r="S3" i="1"/>
  <c r="R4" i="1"/>
  <c r="S4" i="1"/>
  <c r="R5" i="1"/>
  <c r="S5" i="1"/>
  <c r="R6" i="1"/>
  <c r="S6" i="1"/>
  <c r="R7" i="1"/>
  <c r="S7" i="1"/>
  <c r="R8" i="1"/>
  <c r="S8" i="1"/>
  <c r="R9" i="1"/>
  <c r="S9" i="1"/>
  <c r="R10" i="1"/>
  <c r="S10" i="1"/>
  <c r="R11" i="1"/>
  <c r="S11" i="1"/>
  <c r="R12" i="1"/>
  <c r="S12" i="1"/>
  <c r="R13" i="1"/>
  <c r="S13" i="1"/>
  <c r="R14" i="1"/>
  <c r="S14" i="1"/>
  <c r="R15" i="1"/>
  <c r="S15" i="1"/>
  <c r="R16" i="1"/>
  <c r="S16" i="1"/>
  <c r="R17" i="1"/>
  <c r="S17" i="1"/>
  <c r="R18" i="1"/>
  <c r="S18" i="1"/>
  <c r="R19" i="1"/>
  <c r="S19" i="1"/>
  <c r="R20" i="1"/>
  <c r="S20" i="1"/>
  <c r="R21" i="1"/>
  <c r="S21" i="1"/>
  <c r="R22" i="1"/>
  <c r="S22" i="1"/>
  <c r="R23" i="1"/>
  <c r="S23" i="1"/>
  <c r="R24" i="1"/>
  <c r="S24" i="1"/>
  <c r="R25" i="1"/>
  <c r="S25" i="1"/>
  <c r="R26" i="1"/>
  <c r="S26" i="1"/>
  <c r="R27" i="1"/>
  <c r="S27" i="1"/>
  <c r="R28" i="1"/>
  <c r="S28" i="1"/>
  <c r="R29" i="1"/>
  <c r="S29" i="1"/>
  <c r="R30" i="1"/>
  <c r="S30" i="1"/>
  <c r="R31" i="1"/>
  <c r="S31" i="1"/>
  <c r="S2" i="1"/>
  <c r="R2" i="1"/>
  <c r="F16" i="8" l="1"/>
  <c r="E16" i="8"/>
  <c r="H14" i="8"/>
  <c r="G14" i="8"/>
  <c r="F14" i="8"/>
  <c r="E14" i="8"/>
  <c r="H12" i="8"/>
  <c r="G12" i="8"/>
  <c r="F12" i="8"/>
  <c r="E12" i="8"/>
  <c r="F16" i="12"/>
  <c r="E16" i="12"/>
  <c r="H14" i="12"/>
  <c r="G14" i="12"/>
  <c r="F14" i="12"/>
  <c r="E14" i="12"/>
  <c r="H12" i="12"/>
  <c r="G12" i="12"/>
  <c r="F12" i="12"/>
  <c r="E12" i="12"/>
  <c r="F16" i="11"/>
  <c r="E16" i="11"/>
  <c r="H14" i="11"/>
  <c r="G14" i="11"/>
  <c r="F14" i="11"/>
  <c r="E14" i="11"/>
  <c r="H12" i="11"/>
  <c r="G12" i="11"/>
  <c r="F12" i="11"/>
  <c r="E12" i="11"/>
  <c r="F16" i="9"/>
  <c r="E16" i="9"/>
  <c r="H14" i="9"/>
  <c r="O1" i="14" a="1"/>
  <c r="O1" i="14" s="1"/>
  <c r="N1" i="14" a="1"/>
  <c r="N1" i="14" s="1"/>
  <c r="M1" i="14" a="1"/>
  <c r="M1" i="14" s="1"/>
  <c r="L1" i="14" a="1"/>
  <c r="L1" i="14" s="1"/>
  <c r="K1" i="14" a="1"/>
  <c r="K1" i="14" s="1"/>
  <c r="J1" i="14" a="1"/>
  <c r="J1" i="14" s="1"/>
  <c r="I1" i="14" a="1"/>
  <c r="I1" i="14" s="1"/>
  <c r="H1" i="14" a="1"/>
  <c r="H1" i="14" s="1"/>
  <c r="G1" i="14" a="1"/>
  <c r="G1" i="14" s="1"/>
  <c r="F1" i="14" a="1"/>
  <c r="F1" i="14" s="1"/>
  <c r="E1" i="14" a="1"/>
  <c r="E1" i="14" s="1"/>
  <c r="D1" i="14" a="1"/>
  <c r="D1" i="14" s="1"/>
  <c r="G14" i="9"/>
  <c r="F14" i="9"/>
  <c r="E14" i="9"/>
  <c r="H12" i="9"/>
  <c r="G12" i="9"/>
  <c r="F12" i="9"/>
  <c r="E12" i="9"/>
  <c r="C8" i="3"/>
  <c r="C1" i="14" l="1" a="1"/>
  <c r="C1" i="14" s="1"/>
  <c r="B1" i="14" a="1"/>
  <c r="B1" i="14" s="1"/>
  <c r="A1" i="14" a="1"/>
  <c r="A1" i="14" s="1"/>
  <c r="C18" i="3"/>
  <c r="C17" i="3"/>
  <c r="C16" i="3"/>
  <c r="C15" i="3"/>
  <c r="C14" i="3"/>
  <c r="C13" i="3"/>
  <c r="C12" i="3"/>
  <c r="C11" i="3"/>
  <c r="C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tc={0BF16223-5921-431D-AA1A-6D1905E5309E}</author>
  </authors>
  <commentList>
    <comment ref="O1" authorId="0" shapeId="0" xr:uid="{0BF16223-5921-431D-AA1A-6D1905E5309E}">
      <text>
        <t>[Threaded comment]
Your version of Excel allows you to read this threaded comment; however, any edits to it will get removed if the file is opened in a newer version of Excel. Learn more: https://go.microsoft.com/fwlink/?linkid=870924
Comment:
    Dodatne informacije ili posebne upute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tc={F10D69F7-D8DC-4B53-8070-0191118B7BCA}</author>
    <author>tc={A8291467-26C0-4BFD-9D7E-E33EE1BB8191}</author>
    <author>tc={8EE2233E-81AA-43AF-8402-BF4053EE42CB}</author>
    <author>tc={0AD44763-B4DF-4D57-B80A-5FB71860E92F}</author>
    <author>tc={B4351CE4-FF5B-4F03-8DE7-139431C1D7A8}</author>
  </authors>
  <commentList>
    <comment ref="P1" authorId="0" shapeId="0" xr:uid="{F10D69F7-D8DC-4B53-8070-0191118B7BCA}">
      <text>
        <t>[Threaded comment]
Your version of Excel allows you to read this threaded comment; however, any edits to it will get removed if the file is opened in a newer version of Excel. Learn more: https://go.microsoft.com/fwlink/?linkid=870924
Comment:
    Prosječno vrijeme potrebno za pristup usluzi</t>
      </text>
    </comment>
    <comment ref="Q1" authorId="1" shapeId="0" xr:uid="{A8291467-26C0-4BFD-9D7E-E33EE1BB8191}">
      <text>
        <t>[Threaded comment]
Your version of Excel allows you to read this threaded comment; however, any edits to it will get removed if the file is opened in a newer version of Excel. Learn more: https://go.microsoft.com/fwlink/?linkid=870924
Comment:
    Dodatne informacije ili posebne upute</t>
      </text>
    </comment>
    <comment ref="G16" authorId="2" shapeId="0" xr:uid="{8EE2233E-81AA-43AF-8402-BF4053EE42CB}">
      <text>
        <t xml:space="preserve">[Threaded comment]
Your version of Excel allows you to read this threaded comment; however, any edits to it will get removed if the file is opened in a newer version of Excel. Learn more: https://go.microsoft.com/fwlink/?linkid=870924
Comment:
    OPĆINA CENTAR
Odsjek za socijalnu zaštitu
Šefica odsjeka: Amra SABRIHAFIZOVIĆ-HAJDAREVIĆ
T:  + 387 33 56 24 49
E:  amra.sabrihafizovic-hajdarevic@centar.ba
OPĆINA STARI GRAD
Služba za boračko-invalidsku i socijalnu zaštitu
Elma Novalija
Pomoćnica načelnika za boračko-invalidsku i socijalnu zaštitu
e mail: elma.novalija@starigrad.ba 
OPĆINA NOVO SARAJEVO
Služba za socijalna pitanja, zdravstvo, izbjeglice i raseljena lica
Aleksandra Hasečić
diplomirani žurnalista
Pomoćnik Općinskog načelnika
tel: +387 33 492-124, +387 33 492-123, 
+387 33 492-125
fax: +387 33 492-324
socijalna.pitanja@novosarajevo.ba 
aleksandra.hasecic@novosarajevo.ba 
OPĆINA NOVI GRAD
Služba za boračka pitanja, rad, socijalna pitanja i zdravstvo
Tajib Delalić, Rukovodioc
E-mail: biz-soc@novigradsarajevo.ba 
Telefon: 033/291–110 / Lokal 110
Soba: 325
OPĆINA ILIDŽA
Služba za socijalna pitanja, zdravstvo, izbjeglice i raseljena lica
Sejda Topalović
Pomoćnik Općinskog načelnika
E-mail: sejda.topalovic@opcinailidza.ba 
Telefon 033/637-384
Lokal 662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
      </text>
    </comment>
    <comment ref="G17" authorId="3" shapeId="0" xr:uid="{0AD44763-B4DF-4D57-B80A-5FB71860E92F}">
      <text>
        <t xml:space="preserve">[Threaded comment]
Your version of Excel allows you to read this threaded comment; however, any edits to it will get removed if the file is opened in a newer version of Excel. Learn more: https://go.microsoft.com/fwlink/?linkid=870924
Comment:
    OPĆINA CENTAR
Odsjek za socijalnu zaštitu
Šefica odsjeka: Amra SABRIHAFIZOVIĆ-HAJDAREVIĆ
T:  + 387 33 56 24 49
E:  amra.sabrihafizovic-hajdarevic@centar.ba
OPĆINA STARI GRAD
Služba za boračko-invalidsku i socijalnu zaštitu
Elma Novalija
Pomoćnica načelnika za boračko-invalidsku i socijalnu zaštitu
e mail: elma.novalija@starigrad.ba 
OPĆINA NOVO SARAJEVO
Služba za socijalna pitanja, zdravstvo, izbjeglice i raseljena lica
Aleksandra Hasečić
diplomirani žurnalista
Pomoćnik Općinskog načelnika
tel: +387 33 492-124, +387 33 492-123, 
+387 33 492-125
fax: +387 33 492-324
socijalna.pitanja@novosarajevo.ba 
aleksandra.hasecic@novosarajevo.ba 
OPĆINA NOVI GRAD
Služba za boračka pitanja, rad, socijalna pitanja i zdravstvo
Tajib Delalić, Rukovodioc
E-mail: biz-soc@novigradsarajevo.ba 
Telefon: 033/291–110 / Lokal 110
Soba: 325
OPĆINA ILIDŽA
Služba za socijalna pitanja, zdravstvo, izbjeglice i raseljena lica
Sejda Topalović
Pomoćnik Općinskog načelnika
E-mail: sejda.topalovic@opcinailidza.ba 
Telefon 033/637-384
Lokal 662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
      </text>
    </comment>
    <comment ref="G29" authorId="4" shapeId="0" xr:uid="{B4351CE4-FF5B-4F03-8DE7-139431C1D7A8}">
      <text>
        <t xml:space="preserve">[Threaded comment]
Your version of Excel allows you to read this threaded comment; however, any edits to it will get removed if the file is opened in a newer version of Excel. Learn more: https://go.microsoft.com/fwlink/?linkid=870924
Comment:
    OPĆINA CENTAR
Obrazovanje, društvene djelatnosti, kulturu i sport
omoćnica općinskog načelnika: Lejla DIZDAREVIĆ
T: + 387 33 56 24 72
E: lejla.dizdarevic@centar.ba 
OPĆINA STARI GRAD
Služba za obrazovanje, kulturu i sport
Enida Osmanagić
po ovlaštenju Pomoćnik Općinskog načelnika za obrazovanje, kulturu i sport
e-mail: enida.osmanagic@starigrad.ba  
OPĆINA NOVO SARAJEVO
Služba za obrazovanje, kulturu i sport
Emina Rovčanin
diplomirani pravnik
Pomoćnik Općinskog načelnika
tel: +387 33 492-188, +387 33 492-189
obrazovanje@novosarajevo.ba 
emina.rovcanin@novosarajevo.ba 
OPĆINA NOVI GRAD
Služba za obrazovanje, kulturu i sport
Adisa Šuman, Rukovodioc
E-mail: adisasuman@novigradsarajevo.ba 
Telefon: 033/291–190 / Lokal 190
Soba: 510
OPĆINA ILIDŽA
Služba za obrazovanje, kulturu, sport i mlade
Adel Prašović
Pomoćnik Općinskog načelnika
E-mail: adel.prasovic@opcinailidza.ba
Telefon 033/637-218
Lokal716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tc={93E95DB2-A11E-4015-8E04-04D32240A264}</author>
  </authors>
  <commentList>
    <comment ref="O1" authorId="0" shapeId="0" xr:uid="{93E95DB2-A11E-4015-8E04-04D32240A264}">
      <text>
        <t>[Threaded comment]
Your version of Excel allows you to read this threaded comment; however, any edits to it will get removed if the file is opened in a newer version of Excel. Learn more: https://go.microsoft.com/fwlink/?linkid=870924
Comment:
    Dodatne informacije ili posebne upute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<sst xmlns="http://schemas.openxmlformats.org/spreadsheetml/2006/main" count="3584" uniqueCount="564">
  <si>
    <t>Životna dob</t>
  </si>
  <si>
    <t xml:space="preserve">Naziv </t>
  </si>
  <si>
    <t>Novorođenče</t>
  </si>
  <si>
    <t>Ambulanta "Sve na jednom mjestu" za djecu i osobe s poteškoćama u razvoju</t>
  </si>
  <si>
    <t>Dodatak za njegu i pomoć od strane drugog lica, Civilne žrtve rata</t>
  </si>
  <si>
    <t>Jednokratna novčana pomoć licima i domaćinstvima sa područja općine Novo Sarajevo</t>
  </si>
  <si>
    <t>Jednokratna novčana pomoć za invalidna lica</t>
  </si>
  <si>
    <t>Jednokratna novčana pomoć za teško bolesne osobe i umjetnu oplodnju</t>
  </si>
  <si>
    <t>Kupovina lijekova po posebnim protokolima</t>
  </si>
  <si>
    <t>Medicinska rehabilitacija/banjsko liječenje kao produženo bolničko liječenje</t>
  </si>
  <si>
    <t>Medicinska sredstva - ortopedska pomagala</t>
  </si>
  <si>
    <t>Ocjenjivanje sposobnosti, razvrstavanje djece i omladine ometene u psiho-fizičkom razvoju</t>
  </si>
  <si>
    <t>Osnovna dijagnostika</t>
  </si>
  <si>
    <t xml:space="preserve">Osnovni paket fiksne telefonije - socijalni </t>
  </si>
  <si>
    <t>Porez na dohodak, umanjenje poreza na zaposlene osobe sa invaliditetom</t>
  </si>
  <si>
    <t xml:space="preserve">Posebna ishrana </t>
  </si>
  <si>
    <t>Pravo na kućnu njegu</t>
  </si>
  <si>
    <t>Pravo na ličnu invalidninu, dodatak za njegu i pomoć drugog lica i ortopedski dodatak</t>
  </si>
  <si>
    <t>Pravo na pelene</t>
  </si>
  <si>
    <t>Pravo na penziju</t>
  </si>
  <si>
    <t>Pravo na stalnu novčanu pomoć</t>
  </si>
  <si>
    <t>Pravo na zdravstvenu zaštitu</t>
  </si>
  <si>
    <t>Pravo roditelja njegovatelja na osiguranje</t>
  </si>
  <si>
    <t>Pravo roditelja njegovatelja na pokrivanje troškova sahrane/dženaze</t>
  </si>
  <si>
    <t>Prednost u primanju usluga u zdravstvenom i drugim institucijama</t>
  </si>
  <si>
    <t>Priznavanje statusa roditelja njegovatelja</t>
  </si>
  <si>
    <t>Refundacija troškova lijekova i liječenja</t>
  </si>
  <si>
    <t>Smještaj u hospis</t>
  </si>
  <si>
    <t>Smještaj u ustanovu, njega, rehabilitacija i socijalna zaštita – Dom za djecu bez roditeljskog staranja</t>
  </si>
  <si>
    <t>Ugradnja inzulinske pumpice</t>
  </si>
  <si>
    <t>Usluge centara za prevenciju</t>
  </si>
  <si>
    <t>Uvećani dječiji doplatak</t>
  </si>
  <si>
    <t>Novorođenče Total</t>
  </si>
  <si>
    <t>Predškolska dob</t>
  </si>
  <si>
    <t>Novčana pomoć i upućivanje na dijagnostiku i liječenje djece</t>
  </si>
  <si>
    <t>Novčana pomoć za nabavku GPS narukvica</t>
  </si>
  <si>
    <t>Pružanje oralno-hirurških i stomatoloških usluga za djecu sa poteškoćama u razvoju</t>
  </si>
  <si>
    <t>Subvencija  za djecu istih roditelja - oslobađanje plaćanja vrtića za braću i sestre djeteta sa poteškoćama u razvoju</t>
  </si>
  <si>
    <t>Sufinansiranje troškova prijevoza djece sa poteškoćama u kretanju</t>
  </si>
  <si>
    <t>Predškolska dob Total</t>
  </si>
  <si>
    <t>Radni vijek</t>
  </si>
  <si>
    <t>Izdavanje međunarodnog znaka pristupačnosti</t>
  </si>
  <si>
    <t>Medicinsko - sanitetski materijal za RVI sa područja Kantona Sarajevo</t>
  </si>
  <si>
    <t>Oslobađanje od plaćanja RTV takse za osobe koje su izgubile sluh i vid</t>
  </si>
  <si>
    <t>Oslobađanje plaćanja  uvoznih dadžbina, carine i PDV-a prilikom uvoza automobila</t>
  </si>
  <si>
    <t>Povlastice u željezničkom saobraćaju</t>
  </si>
  <si>
    <t>Pravo na novčanu naknadu za vrijeme čekanja na zaposlenje</t>
  </si>
  <si>
    <t>Pravo na poslovnu rehabilitaciju</t>
  </si>
  <si>
    <t>Pravo na skraćeno radno vrijeme, zaštita od prekovremenog rada i rada noću, kao i zaštita od promjene mjesta rada</t>
  </si>
  <si>
    <t>Pravo na zapošljavanje: povlaštena prava pri zapošljavanju u javnom sektoru</t>
  </si>
  <si>
    <t>Radni vijek Total</t>
  </si>
  <si>
    <t>Školska dob</t>
  </si>
  <si>
    <t>Asistent u nastavi</t>
  </si>
  <si>
    <t>Osposobljavanje za samostalan život i rad kroz srednje obrazovanje</t>
  </si>
  <si>
    <t>Pravo na dnevni boravak u posebnim ustanovama ili smještaj u domovima toko obrazovanja. Potpuno pokrića troškova dnevnog boravka od strane Centra</t>
  </si>
  <si>
    <t>Pravo na druge primjerene oblike pomoći djeci u predškolskim ustanovama, redovnim osnovnim i srednjim školama i ustanovama osnovnoškolskog i srednjoškolskog odgoja obrazovanja i rehabilitacije za učenike sa teškoćama (ustanove): 
a.	Program edukacijsko rehabilitacijskih tretmana
b.	Program produženog stručnog postupka
c.	Rehabilitacijski programi</t>
  </si>
  <si>
    <t>Pravo na individualni prilagođeni program (IPP) – IPP1 IPP2 IPP3</t>
  </si>
  <si>
    <t>Pravo na produženo obrazovanje</t>
  </si>
  <si>
    <t xml:space="preserve">Pravo na srednje obrazovanje u redovnim ili specijalnim školama </t>
  </si>
  <si>
    <t>Školska dob Total</t>
  </si>
  <si>
    <t>Treća životna dob</t>
  </si>
  <si>
    <t>Jednokratna novčana pomoć za stanovnike starije od 80 godina</t>
  </si>
  <si>
    <t>Kupovina lijekova penzionerima i licima preko 60 godina starosti bez primanja</t>
  </si>
  <si>
    <t>Pravo na novčanu naknadu za pomoć i njegu od strane druge osobe (lica iznad 65 godina života)</t>
  </si>
  <si>
    <t>Smještaj u Gerontološki centar – Privatni ugovori potpisani sa fizičkim licima</t>
  </si>
  <si>
    <t>Smještaj u ustanovu, njega, rehabilitacija i socijalna zaštita – Gerontološki centar</t>
  </si>
  <si>
    <t>Stalna novčana pomoć za kupovinu hljeba i mlijeka lica starija od 60 godina bez primanja</t>
  </si>
  <si>
    <t>Stalna novčana pomoć za kupovinu hljeba i mlijeka penzioneri sa minimalnom penzijom</t>
  </si>
  <si>
    <t>Usluga dnevnog ili poludnevnog boravka u Centar za dnevni boravak – Gerontološki centar</t>
  </si>
  <si>
    <t>Usluga kućne njege i pomoći u kući od strane osoblja Gerontološkog centra</t>
  </si>
  <si>
    <t>Zdravstvena zaštita starijih od 65 godina</t>
  </si>
  <si>
    <t>Treća životna dob Total</t>
  </si>
  <si>
    <t>Grand Total</t>
  </si>
  <si>
    <t>#</t>
  </si>
  <si>
    <t>Opis</t>
  </si>
  <si>
    <t>Tip usluge/prava/benefita</t>
  </si>
  <si>
    <t>Ministartvo/Organizacija</t>
  </si>
  <si>
    <t>Adresa</t>
  </si>
  <si>
    <t>Web stranica</t>
  </si>
  <si>
    <t>Telefon</t>
  </si>
  <si>
    <t>Email</t>
  </si>
  <si>
    <t>Pravni osnov</t>
  </si>
  <si>
    <t>Proces aplikacije</t>
  </si>
  <si>
    <t>Lista neophodnih dokumenata</t>
  </si>
  <si>
    <t>Link za informacije o prijavi</t>
  </si>
  <si>
    <t>Dodatne napomene</t>
  </si>
  <si>
    <t>Pravo</t>
  </si>
  <si>
    <t>Pravo na refundiranje troškova lijekova, medicinskih sredstava i liječenja koji nisu obuhvaćeni obaveznim zdravstvenim osiguranjem (odobravanje sredstava do 20.000KM)</t>
  </si>
  <si>
    <t>Zdravstvena zaštita</t>
  </si>
  <si>
    <t>Zavod zdravstvenog osiguranja Kantona Sarajevo</t>
  </si>
  <si>
    <t>Ložionička 2, 71000 Sarajevo, Bosna i Hercegovina</t>
  </si>
  <si>
    <t>https://www.kzzosa.ba/</t>
  </si>
  <si>
    <t>info@kzzosa.ba</t>
  </si>
  <si>
    <t>Pravilnik o načinu ostvarivanja prava iz obaveznog zdravstvenog osiguranja ("Sl.novine FBiH" br 31/02 i 20/19) i odluke ZZOKS</t>
  </si>
  <si>
    <t>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t>
  </si>
  <si>
    <t> </t>
  </si>
  <si>
    <t>Administrativni postupci</t>
  </si>
  <si>
    <t>Zavod zdravstvenog osiguranja KS</t>
  </si>
  <si>
    <t>Diskrecione usluge</t>
  </si>
  <si>
    <t>Pravo na dodatak za pomoć i njegu od strane druge osobe invalidima od I do IV grupe koji su nesposobni za vršenje osnovnih životnih potreba bez pomoći drugog lica.</t>
  </si>
  <si>
    <t>Zaštita civilnih žrtava rata</t>
  </si>
  <si>
    <t xml:space="preserve">Općina, nadležna općinska služba
Ministarstvo za rad, socijalnu politiku, raseljena lica i izbjeglice Kantona Sarajevo
</t>
  </si>
  <si>
    <t>Primjer Općine Centar</t>
  </si>
  <si>
    <t>https://eregistar.centar.ba/registar/12-21-pravo-na-dodatak-za-njegu-i-pomoc-od-strane-drugog-lica-czr/</t>
  </si>
  <si>
    <t xml:space="preserve">0038733562450
</t>
  </si>
  <si>
    <t>zlatan.kulovic@centar.ba</t>
  </si>
  <si>
    <t xml:space="preserve">Zakon o osnovama socijalne zaštite, zaštite civilnih žrtava rata i zaštite porodice sa djecom („Službene novine Federacije Bosne i Hercegovine“, br. 36/99, 54/04, 39/06, 14/09, 45/16 i 40/18); član 60.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</si>
  <si>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Državljanstvo Bosne i Hercegovine;Potreba za tuđom njegom i pomoći civilne žrtve rata utvrđuje se na osnovu nalaza i mišljenja nadležne ljekarske komisije određene propisom ministra Federalnog ministarstva rada i socijalne politike.
Vodi se upravni postupak u kojem se utvrđuje ispunjavanje uslova za ostvarivanje prava na dodatak za njegu i pomoć od strane drugog lica.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da ima priznat status civilne žrtve rata i pravo na ličnu invalidninu i
da je nalazom i mišljenjem od strane ljekarske komisije utvrđena potreba za ortopedskim dodatkom. •	</t>
  </si>
  <si>
    <t>Zahtjev za ostvarivanje prava na dodatak za njegu i pomoć od strane drugog lica podnosi se općini, nadležnoj općinskoj službi općine u kojoj podnosilac zahtjeva ima prebivalište.
•	 •	rješenje o priznavanju statusa civilne žrtve rata i prava na ličnu invalidninu;
•	ovjerena kopija lične karte;
•	CIPS prijava o mjestu prebivališta i
•	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t>
  </si>
  <si>
    <t>Utvrđivanja preostale sposobnosti i razvrstavanja djece i omladine, vodi se do navršene 18. godine života djeteta.</t>
  </si>
  <si>
    <t>Socijalna zaštita</t>
  </si>
  <si>
    <t>Kantonalni centar za socijalni rad</t>
  </si>
  <si>
    <t>Gatačka 80, Sarajevo</t>
  </si>
  <si>
    <t>https://kcsr.ba/</t>
  </si>
  <si>
    <t>info@kcsr.ba</t>
  </si>
  <si>
    <t>Pravilnik o utvrđivanju preostale sposobnosti i razvrstavanju djece i omladine ometene u psiho-fizičkom razvoju KS</t>
  </si>
  <si>
    <t>https://kcsr.ba/file/kcsr21/274</t>
  </si>
  <si>
    <t>Cjelokupno zbrinjavanje, odgoj, školovanje, zdravstvena zaštita djece bez roditelja i djece čiji je razvoj ometen porodičnim prilikama.</t>
  </si>
  <si>
    <t>Kantonalna javna ustanova Dom za djecu bez roditeljskog staranja
Javna ustanova “Kantonalni centar za socijalni rad” – službe socijalne zaštite
Ministarstvo za rad, socijalnu politiku, raseljena lica i izbjeglice Kantona Sarajevo</t>
  </si>
  <si>
    <t>Bjelave 52, 71000 Sarajevo, Bosna i Hercegovina</t>
  </si>
  <si>
    <t>https://dombjelave.ba/bs</t>
  </si>
  <si>
    <t xml:space="preserve"> dombjelave@hotmail.com</t>
  </si>
  <si>
    <t>Član 85
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	Zakon o socijalnoj zaštiti, zaštiti civilnih žrtava rata i zaštiti porodice sa djecom („Službene novine Kantona Sarajevo“ br. 38/14 – Prečišćeni tekst, 38/16, 44/17 i 28/18); član 94.</t>
  </si>
  <si>
    <t>zahtjev za smještaj;
rješenje o smještaju;
socijalna anamneza;
izvod iz matične knjige rođenih;
zdravstvena knjižica;
medicinska dokumentacija (ukoliko dijete ima zdravstvene poteškoće) i
rješenje o starateljstvu (ukoliko je dijete pod starateljstvom nadležne službe).</t>
  </si>
  <si>
    <t>Jednokratna novčana pomoć licima i domaćinstvima sa područja općine Novo Sarajevo samo za osobe za prebivalištem u Općini Novo Sarajevo</t>
  </si>
  <si>
    <t>Općina Novo Sarajevo</t>
  </si>
  <si>
    <t>Zmaja od Bosne 55, 71000 Sarajevo, Bosna i Hercegovina</t>
  </si>
  <si>
    <t>https://novosarajevo.ba/</t>
  </si>
  <si>
    <t>socijalna.pitanja@novosarajevo.ba</t>
  </si>
  <si>
    <t>Odluka o uslovima, načinu, kriterijima i iznosu sredstava za dodjelu jednokratne novčane pomoći licima i domaćinstvima sa područja općine Novo Sarajevo ("Službene novine Kantona Sarajevo", broj: 19/21 i 19/22)</t>
  </si>
  <si>
    <t>Zahtjev se predaje Službi za socijalna pitanja, zdravstvo, izbjeglice i raseljena lica na propisanom obrascu, na kojem je navedena dokumentacija koju je potrebno priložiti.</t>
  </si>
  <si>
    <t>izjava - saglasnost za obradu podataka
potvrda prijave mjesta prebivališta-boravišta (CIPS) za sve članove domaćinstva
potvrda mjesne zajednice ili ovjerena kućna lista o broju članova domaćinstva
potvrda banke o otvorenom žiro-računu
preporuke stručnog lica medicinske struke
original računi i dokaz o participaciji od Zavoda zdravstvenog osiguranja KS
pravosnažno Rješenje ili uvjerenje JU "Centar za socijalni rad"
dokaz o primanjima za sve članove domaćinstva ili potvrda o redovnom školovanju
uvjerenje iz JU "Centar za socijalni rad" da li je njihov korisnik po bilo kom osnovu, za sve članove domaćinstva
uvjerenje Porezne uprave, za sve članove domaćinstva</t>
  </si>
  <si>
    <t>https://novosarajevo.ba/userfiles/doc/files/Odluka_o_uslovima.pdf</t>
  </si>
  <si>
    <t>Zahtjevi se podnose tokom čitave godine, ali se pravo ostvaruje jednom u toku kalendarske godine</t>
  </si>
  <si>
    <t>Pravo na liječenje rijetkih i teških oboljenja po posebnim protokolima (reumatoidini artritis, juvenilni idiopatski artritis, enteralna prehrana, bezglutensko brašno za oboljele od celijaklije)</t>
  </si>
  <si>
    <t>Zavod zdravstvenog osiguranja Kantona Sarajevo/zdravstvene ustanove</t>
  </si>
  <si>
    <t>Posebni protokoli (zaključuju se na godišnjem nivou, dostupni na stranici Zavoda, rubrika Javnost rada)</t>
  </si>
  <si>
    <t>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t>
  </si>
  <si>
    <t>Pravo na medicinsku rehabilitaciju u ugovornim banjama</t>
  </si>
  <si>
    <t>Odluka o utvrđivanju osnovnog paketa zdravstvenih prava ("Sl.novine FBiH" br. 21/09)</t>
  </si>
  <si>
    <t>Ovlašteni ljekar/propisivač (neurolog, kardiolog itd) izdaju preporuku za medicinsku rehabilitaciju, koja se ovjerava u ZZO KS i osiguranik upućuje na medicinsku rehabilitaciju do 21 dana</t>
  </si>
  <si>
    <t>Pravo na medicinska sredstva/ortopedska pomagala za osiguranike u Kantonu Sarajevo</t>
  </si>
  <si>
    <t>Odluka o obimu, uslovima i načinu ostvarivanja prava osiguranih lica Kantona Sarajevo na medicinska sredstva ("Službene novine Kantona Sarajevo", broj: 22/20, 30/21, 42/22 i 48/22)</t>
  </si>
  <si>
    <t>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t>
  </si>
  <si>
    <t>Licima sa invaliditetom i grupe sa 100% tjelesnog oštećenja i licima sa invaliditetom II grupe sa 90% tjelesnog oštećenja, omogućiti ostvarivanje prava na ličnu invalidninu, dodatak za njegu i pomoć od strane drugog lica i ortopedski dodatak.</t>
  </si>
  <si>
    <t>mirsada@kcsr.ba</t>
  </si>
  <si>
    <t>Zakon o osnovama socijalne zaštite zaštite civilnih žrtava rata i zaštite porodice sa djecom Federacije BiH
Zakon o socijalnoj zaštiti, zaštiti civilnih žrtava rata i zaštiti porodice sa djecom Kantona Sarajevo</t>
  </si>
  <si>
    <t>(uvjerenje se pribavlja u općini prebivališta /boravišta podnosioca zahtjeva)
(uvjerenje se pribavlja u općini prebivališta podnosioca zahtjeva)</t>
  </si>
  <si>
    <t>https://kcsr.ba/file/kcsr13/268</t>
  </si>
  <si>
    <t>Ostvarivanje prava na materijalnu pomoć licima nesposobnim za rad, bez sredstava za život i srodnika koji su po Zakonu obavezni na izdržavanje.</t>
  </si>
  <si>
    <t>(matični ured prema mjestu rodjenja maloljetne osobe)
(dokaz o primanjima – potvrda o visini ličnog dohotka, potvrda službe za zapošljavanje, potvrda PIO, potvrda škole/fakulteta)
(nadležna je općina prebivališta članova domaćinstva)
(dokaz o kvadraturi stambenog prostora -utvrdjuje se od strane stručnih radnika -na terenu – općine koja vodi postupak po osnovu zahtjeva)
(nadležna je služba općine za obavljanje poslova iz oblasti zaštite civilnih žrtava rata i zaštite porodice sa djecom)
(matični ured prema mjestu rodjenja maloljetne osobe)
(nadležna je općina prebivališta članova domaćinstva)
(Prema prebivalištu podnosioca zahtjeva)</t>
  </si>
  <si>
    <t>https://kcsr.ba/file/kcsr4/262</t>
  </si>
  <si>
    <t>Ostvarivanje prava od strane lica-korisnika stalne novčane pomoći i lica sa invaliditetom pravo na zdravstvenu zaštitu ( pod uslovom da ga ne mogu ostvariti po drugom osnovu).</t>
  </si>
  <si>
    <t>(prema mjestu prebivališta podnosioca zahtjeva)</t>
  </si>
  <si>
    <t>https://kcsr.ba/file/kcsr7/264</t>
  </si>
  <si>
    <t>Zakon o roditeljima njegovateljima u Federaciji BiH</t>
  </si>
  <si>
    <t>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
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t>
  </si>
  <si>
    <t>https://kcsr.ba/file/kcsr-23/349</t>
  </si>
  <si>
    <t>http://obrasci.pufbih.ba/images/stories/dohodak_docs/NoviObrazacPK1001hrv.pdf</t>
  </si>
  <si>
    <t>Logopedi, defektolozi</t>
  </si>
  <si>
    <t>Zakon o osnovama socijalne zaštite, zaštite civilnih žrtava rata i zaštite porodice s djecom, Član 88: Zaštita porodice sa djecom ima za cilj:
da se osiguraju svoj djeci približno jednaki uvjeti za zdrav i pravilan tjelesni, intelektualni i emocionalni razvoj u porodici,
pomoć u ostvarivanju njene reproduktivne uloge, njezi, podizanju, odgoju i zaštiti djece i poboljšanju kvaliteta života porodice,
razvijanje humanih odnosa u skladu sa načelima građanskog morala i solidarnosti.
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t>
  </si>
  <si>
    <t xml:space="preserve">Osigurana lica - djeca do 18 godina, inzuloovisnici, na prijedlog tima za inzulinske pumpe pedijatrijske klinike, a uz odobrenje komisije Zavoda, mogu ostvariti pravo na inzulinsku pumpu. Uz inzulinsku pumpu obezbješuje se potrošni materijal: </t>
  </si>
  <si>
    <t>Uredba o obimu, uvjetima i načiu ostvarivanja prava osiguranih lica na korištenje ortopedskih i drugih pomagala, endoproteza, stomatološko protetske pomoći i stomatološko - protetskih nadomjestaka
https://www.kzzosa.ba/wp-content/uploads/2023/08/Odluka_o_visini_ucesca_ZZO_KS_u_cijeni_medicinskih_sredstava-1.pdf</t>
  </si>
  <si>
    <t>Ako je neki član porodice lice sa invaliditetom, djeca imaju pravo na uvećani dječiji dodatak. Zakonom nije predviđen imovinski cenzus. 
Obratiti se nadležnoj službi u općini stanovanja, popuniti zahtjev i priložiti tražene dokumente.</t>
  </si>
  <si>
    <t>Općine</t>
  </si>
  <si>
    <t>Osoba sa teškoćama u razvoju (nesposobnost za samostalan život, nesposobnost za privređivanje) ima pravo na penziju roditelja.</t>
  </si>
  <si>
    <t>Član 73
(Uslovi za porodičnu penziju djeteta)
(1) Dijete ima pravo na porodičnu penziju do navršenih 15 godina života.
(2) Poslije navršenih 15 godina života, dijete ima pravo na porodičnu penziju do završetka redovnog školovanja, ali najkasnije do navršenih 26 godina života.
(3) Redovnim školovanjem, u smislu ovog zakona, ne smatra se školovanje u školi istog ili nižeg stepena obrazovanja od škole koju je dijete završilo.
(4) Dijete kod koga nastupi nesposobnost za samostalan život i rad prije 15. godine života ima pravo na porodičnu penziju dok ta nesposobnost traje.
(5) Dijete kod koga nesposobnost za privređivanje nastupi poslije 15. godine života, a prije smrti osiguranika odnosno korisnika penzije ima pravo na porodičnu penziju ako ga je osiguranik odnosno korisnik penzije izdržavao do svoje smrti.
(6) Dijete kod koga u toku korištenja prava na porodičnu penziju nastupi nesposobnost za samostalan život i rad ili nesposobnost za privređivanje zadržava pravo na penziju dok ta nesposobnost traje.
(7) Nesposobnost za samostalan život i rad postoji kada se lice zbog vrste i težine fizičkog ili mentalnog oštećenja ili vrste i težine psihičke bolesti ne može osposobiti za obavljanje najjednostavnijih poslova.</t>
  </si>
  <si>
    <t>Neinstitucionalizirana prava</t>
  </si>
  <si>
    <t>Dodatna ambulanta nije namijenjena za prehlade, upale grla i sl. Nego, ukoliko dijete ili osoba sa teškoćama u razvoju treba istovremeno preglede, odnosno nalaze, kao što su vađenje krvi, EKG, RTG pluća, pedijatrijski pregled ili mišljenje anesteziologa.</t>
  </si>
  <si>
    <t>Opća bolnica "Prim.dr. Abdulah Nakaš"</t>
  </si>
  <si>
    <t>Kranjčevićeva 12, Sarajevo</t>
  </si>
  <si>
    <t>Naručivanje u ambulanti.</t>
  </si>
  <si>
    <t>Općina Ilidža: Općinski načelnik dodjeljuje jednokratnu novčanu pomoć osobama sa invaliditetom sa posebnim potrebama koje su u socijalnoj potrebi.</t>
  </si>
  <si>
    <t>Općina Ilidža</t>
  </si>
  <si>
    <t>Butmirska cesta 12, prvi sprat</t>
  </si>
  <si>
    <t>https://www.opcinailidza.ba/services/sluzba-za-socijalna-pitanja-zdravstvo-izbjeglice-i-raseljena-lica</t>
  </si>
  <si>
    <t>sejda.topalovic@opcinailidza.ba</t>
  </si>
  <si>
    <t>Pomoć se dodjeljuje kontinuirano posljednjih 10 godina</t>
  </si>
  <si>
    <t>Dodjela se vrši na osnovu evidencija Službe, a upis u evidenciju  može se izvršti i na način da se dostavi  dokumentacija Službi za socijalna pitanja, zdravstvo, izbjeglice i raseljena lica Općine Ilidža na adresi Butmirska cesta 12, -prvi sprat</t>
  </si>
  <si>
    <t>CIPS-ova prijava mjesta boravka
Rješenje koje je doneseno u skladu Pravilnikom o utvrđivanju preostale sposobnosti i razvrstavanju djece i omladine ometene u psiho-fizičkom razvoju ("Službene novine Kantona Sarajevo" br. 26/08 i 5/12), odnsono medicinskom dokumentacijom za djecu oboljelu od od karcinoma, šećerne bolesti, leukemije, TBC i celijakije</t>
  </si>
  <si>
    <t>ZAHTJEV ZA PRIZNAVANJE PRAVA NA JEDNOKRATNU NOVČANU POMOĆ I SUFINANSIRANJE MEDICINSKI POTPOMOGNUTE OPLODNJE.pdf (opcinailidza.ba)</t>
  </si>
  <si>
    <t>Novčana pomoć za teško oboljela lica sa područja općine Ilidža kojima je potrebno plaćanje troškova liječenja u zemlji i/ili inostranstvu.</t>
  </si>
  <si>
    <t>Za rješavanje zahtjeva nadležna je Komisija koju čine ljekari različitih specijalnosti</t>
  </si>
  <si>
    <t>Osobe s invaliditetom imaju pravo na besplatnu osnovnu dijagnostiku na KCUS-u i Domovizma zdravlja KS.</t>
  </si>
  <si>
    <t>Klinički centar Univerziteta u Sarajevu i Domovi zdravlja Kantona Sarajevo</t>
  </si>
  <si>
    <t>Pravo na Socijalni paket ostvaruju: porodice palog borca, ratni vojni invalidi sa 100% invalidnosti, slijepa lica i kategorije, lica oboljela od distrofije i srodnih bolesti, paraplegičari, oboljeli od dječje ili cerebralne paralize i multiple skleroze i korisnici stalne novčane pomoći, u smislu zakona o osnovama socijalne zaštite, zaštite civilnih žrtava rata i zaštite porodica sa djecom i odgovarajućih kantonalnih pozitivnih propisa u FBiH, kojima se uređuje ova oblast.</t>
  </si>
  <si>
    <t>Kultura i sport</t>
  </si>
  <si>
    <t>BH Telecom</t>
  </si>
  <si>
    <t>Zmaja od Bosne 88</t>
  </si>
  <si>
    <t>https://mojwebshop.bhtelecom.ba/INTERSHOP/web/BOS/BHTelecomWebShop-BHTelecom-Site/bs_BA/-/BAM/ViewProduct-Start?SKU=100003</t>
  </si>
  <si>
    <t xml:space="preserve">Zaposlene osobe s invaliditetom imaju pravo na osnovni lični odbitak i umanjenje porezne osnovice po osnovu izdražavanja članova uže porodice i /ili po osnovu eventualne invalidnosti tih članova ili samog poreznog obveznika.
Rezidentni porezni obveznici mogu odbiti i lični odbitak: 0,3 osnovnog ličnog odbitka iz stava (1) člana 24 za utvrđenu vlastitu invalidnost, kao i za utvrđenu invalidnost svakog člana uže porodice koje porezni obveznik izdržava. </t>
  </si>
  <si>
    <t>Poreske olakšice</t>
  </si>
  <si>
    <t>Poreska uprava Općine</t>
  </si>
  <si>
    <t>Zakn o porezu na dohodak FBiH</t>
  </si>
  <si>
    <t>Kopija lične karte
Vjenčani list;
Rodni list;
Dokaz o visini prihoda izdržavanog lica;
Uvjerenje o zajedničkom domaćinstvu;
Rješenje nadležnog organa sa utvrđenim tjelesnim oštećenjem i stepena invaliditeta</t>
  </si>
  <si>
    <t>Osoba može dobiti pomoć i njegu u kući ako ispunjava sljedeće uvjete:
- Nije već dobila novčanu naknadu za pomoć i njegu od drugog.
- Nema mogućnost da pomoć i njegu osiguraju roditelji, bračni partner ili djeca.
- Nema mogućnost osiguranja pomoći i njege putem ugovora o doživotnom izdržavanju.
- Prihod njezina kućanstva ne prelazi 30% prosječne plaće.</t>
  </si>
  <si>
    <t>Moze li neko provjeriti u: Usluga dnevnog ili poludnevnog boravka u Centar za dnevni boravak – Gerontološki centar , u prvom sheetu</t>
  </si>
  <si>
    <t>Član 60
Pomoć i njega u kući može se odobriti osobi kojoj je zbog tjelesnog ili mentalnog oštećenja ili trajnih promjena u zdravstvenom stanju ili starosti prijeko potrebna pomoć i njega druge osobe pod uvjetom:
- da nije ostvarila pravo na novčanu naknadu za pomoć i njegu od strane druge osobe;
- da nema mogućnosti da joj pomoć i njegu osiguraju roditelji, bračni drug i djeca;
- da nema mogućnosti da pomoć i njegu osigura na temelju ugovora o doživotnom izdržavanju;
- da prihod po članu domaćinstva ne prelazi 30% prosječne plaće.
Potrebu za pomoć i njegu u kući utvrđuje Stručna institucija.</t>
  </si>
  <si>
    <t>Roditelji staratelji imaju isti status osiguranja kao i zaposleni pojedinci.</t>
  </si>
  <si>
    <t>Rad i zapošljavanje</t>
  </si>
  <si>
    <t>Član 11.
(Naknada i doprinosi)
(1) Roditelj njegovatelj ima pravo na mjesečnu naknadu u visini iznosa neto najniže plaće u Federaciji Bosne i Hercegovine u skladu sa Zakonom o radu ("Službene novine Federacije BiH", br. 26/16 i 89/18), na koju se uplaćuju doprinosi za penzijsko i invalidsko osiguranje, zdravstveno osiguranje i osiguranje za vrijeme nezaposlenosti.</t>
  </si>
  <si>
    <t>Roditelji staratelji dobijaju troškove sahrane za preminulu osobu sa invaliditetom, slično kao i federalni službenici.
Roditelju lica s invaliditetom može se priznati status roditelja njegovatelja ukoliko je nazaposlen i prijavljen na evidenciji nadležne službe za zapošljavanje.
Status roditelja njegovatelja priznaje se jednom od roditelja lica s invaliditetom sa 100% oštećenjem organizma i pravom na dodatak za njegu i pomoć od drugog lica.</t>
  </si>
  <si>
    <t>Član 11.
(Naknada i doprinosi)
(4) U slučaju smrti lica sa invaliditetom, roditelj njegovatelj ostvaruje pravo na naknadu troškova ukopa – sahrane umrlog lica na isti način kako je to, drugim zakonima, regulisano za zaposlenike federalnih organa.</t>
  </si>
  <si>
    <t>Zbrinjavanje teško oboljelih u zdravstveno-socijalnoj ustanovi</t>
  </si>
  <si>
    <t>Zavod zdravstveno osiguranja Kantona Sarajevo</t>
  </si>
  <si>
    <t>Ugovor sa zdravstveno-socijalnom ustanovom </t>
  </si>
  <si>
    <t>Porodični ljekari, prema kriterijumima utvrđenim od Ministarstva zdravstva KS, pacijenta u terminalnoj fazi bolesti upućuje u zdravstveno-socijalnu ustanovu na odgovarajuću skrb (medicinska i psihološka podrška)</t>
  </si>
  <si>
    <t xml:space="preserve">državljanstvo Bosne i Hercegovine;Potreba za tuđom njegom i pomoći civilne žrtve rata utvrđuje se na osnovu nalaza i mišljenja nadležne ljekarske komisije određene propisom ministra Federalnog ministarstva rada i socijalne politike.
Vodi se upravni postupak u kojem se utvrđuje ispunjavanje uslova za ostvarivanje prava na dodatak za njegu i pomoć od strane drugog lica.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da ima priznat status civilne žrtve rata i pravo na ličnu invalidninu i
da je nalazom i mišljenjem od strane ljekarske komisije utvrđena potreba za ortopedskim dodatkom. •	</t>
  </si>
  <si>
    <t>Pravo na liječenje/dijagnostiku na teret ZZO KS, odnosno refundaciju troškova liječenja/dijagnostike izvan Kantona Sarajevo (odobravanje sredstava do 60.000KM)</t>
  </si>
  <si>
    <t>Odluka o utvrđivanju programa za dijagnostiku i liječenje teško oboljele djece</t>
  </si>
  <si>
    <t>Zahtjev za refundaciju troškova, odnosno za plaćanje troškova po izdatom predračunu, se dostavlja ZZO KS (odlučuje posebna komisija). Uz zahtjev se dostavlja medicinska dokumentacija iz koje se može cijeniti oboljenje, te utvrditi da se u ugovornim ustanovama KS usluga ne može pružiti, originalni račun ili predračun, potvrda prebivališta. Pravo se ne odnosi na listu oboljenja koja finansira Fond solidarnosti pri Zavodu zdravstvenog osiguranja i reosiguranja FBiH</t>
  </si>
  <si>
    <t>Pravo na dodjelu novčane pomoći ostvaruju djeca/osobe sa poteškoćama u razvoju/invaliditetom, težim i teškim intelektualnim poteškoćama sa područja Općine Novi Grad Sarajevo, na osnovu dostavljene medicinske dokumentacije koju daje izabrani doktor/specijalista, na osnovu koje je utvrđena potreba za medicinskim pomagalom, kao i druga dokumetacija kojom se dokazuje potreba za korištenje istog.</t>
  </si>
  <si>
    <t>Općina Novi Grad Sarajevo</t>
  </si>
  <si>
    <t>Bulevar Meše Selimovića 97
71000 Sarajevo, BiH</t>
  </si>
  <si>
    <t>https://www.novigradsarajevo.ba</t>
  </si>
  <si>
    <t xml:space="preserve"> adisasuman@novigradsarajevo.ba
</t>
  </si>
  <si>
    <t>Tekući transferi, na osnovu Zakona o principima lokalne samouprave u Federaciji Bosne i Hercegovine (“Službene novine Federacije Bosne i Hercegovine” broj: 49/06 i 51/09), člana 9. i 15. Odluke o organizaciji jedinstvenog općinskog organa uprave Općine Novi Grad Sarajevo (“Službene novine Kantona Sarajevo” broj 6/17), Budžeta  Općine Novi Grad Sarajevo za 2023. godinu („Službene novine Kantona Sarajevo“, broj: 2/23)</t>
  </si>
  <si>
    <t xml:space="preserve">Zahtjev prema općini  </t>
  </si>
  <si>
    <t>zahtjev dostavljen putem protokola Općine Novi Grad Sarajevo,
prijave mjesta prebivališta – na uvid,
dokumentacije koju daje izabrani doktor/specijalista na osnovu koje je utvrđena potreba za medicinskim pomagalom, kao i druga dokumetacija kojom se dokazuje potreba za korištenje istog,
predračun za nabavku GPS narukvice,
po potrebi i drugi dokazi iz kojih je vidljiva opravdanost zahtjeva,
izjava o saglasnosti za obradu ličnih podataka u vezi sa predmetnim zahtjevom.</t>
  </si>
  <si>
    <t>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t>
  </si>
  <si>
    <t>Transferi, samo na općini Novi Grad Sarajevo</t>
  </si>
  <si>
    <t xml:space="preserve">Općina Ilidža sufinansira prijevoz djece s poteškoćama u kretanju. Trenutni korisnici ovog vida podrške su učenici i njihovi pratioci koji pohađaju Centar za odgoj, obrazovanje i rehabilitaciju "Vladimir Nazor", Centar za slušnu i govornu rehabilitaciju, Centar za slijepu i slabovidnu djecu i omladinu, Škola za srednje stručno obrazovanje i radno osposobljavanje i Zavod za specijalno obrazovanje i odgoj djece "Mjedenica". </t>
  </si>
  <si>
    <t>Obrazovanje</t>
  </si>
  <si>
    <t>Butmirska cesta 12,71210 Ilidža, Bosna i Hercegovina</t>
  </si>
  <si>
    <t>https://www.opcinailidza.ba/</t>
  </si>
  <si>
    <t>Edina.Icindic@opcinailidza.ba</t>
  </si>
  <si>
    <t>Na osnovu Instrukcije Minstarstva saobraćaja KS broj: 04-11-28646-2-2/21 KM od 6. 8. 2021. godine učenicima
koji za prijevoz koriste putnički automobil pripada naknada u visini 15% cijene litre benzina BMB 95 na teritoriji
Bosne i Hercegovine po pređenom kilometru na relaciji od lokacije stanovanja do obrazovne ustanove koju pohađa i
nazad u dane kada putuje na nastavne aktivnosti.
Naknada za učenike i pratioce koji koriste javni prijevoz obračunava se visini cijene prijevozne karte iz putničke
tarife za prijevoz sredstvom javnog linijskog prijevoza putnika na području KS koji mogu upotrijebiti na relaciji od
lokacije stanovanja do obrazovne ustanove koju učenik/ca pohađa i nazad.</t>
  </si>
  <si>
    <t>Zahtjev prema općini na osnovu kojeg se provodi postupak</t>
  </si>
  <si>
    <t>potvrda  o upisu učenika u školu/centar
•	potvrda škole da nema osiguran prijevoz
•	Cips prijava  učenika i roditelja-pratioca
•	medicinska dokumentacija 
•	saobraćajna dozvola -automibil kojim se učenik prevozi
•	ovjerena izjava o udaljenosti od mjesta stanovanja do škole 
•	broj transakcijskog računa</t>
  </si>
  <si>
    <t>https://www.opcinailidza.ba/uploads/files/shares/Elektronski_formulari/sl_obraz/zahtjev%20za%20sno%C5%A1enje%20tro%C5%A1kova%20prijevoza.pdf</t>
  </si>
  <si>
    <t>Djeca koja su braća/sestre djeteta sa poteškoćama u razvoju imaju pravo na subvenciju troškova vrtića.</t>
  </si>
  <si>
    <t>Općinski nivo</t>
  </si>
  <si>
    <t>Na Stomatološkom fakultetu u Sarajevu djeci s poteškoćama u razvoju pružaju se besplatne oralnohirurške i stomatološke usluge, ako je potrebno i pod općom anestezijom. .</t>
  </si>
  <si>
    <t>Stomatološki fakultet u Sarajevu</t>
  </si>
  <si>
    <t>Bolnička 4, Sarajevo</t>
  </si>
  <si>
    <t>https://sf.unsa.ba/pruzanje-oralno-hirurskih-i-stomatoloskih-usluga-za-djecu-sa-poteskocama-u-razvoju/</t>
  </si>
  <si>
    <t>Obezbijediti novčana sredstva osobama ometenim u psihičkom i fizičkom razvoju, koje su osposobljenje za rad, a koje čekaju na zaposlenje, pod uvjetom da se redovno javljaju Službi za zapošljavanje Kantona Sarajevo.</t>
  </si>
  <si>
    <t>Zakon o osnovama socijalne zaštite zaštite civilnih žrtava rata i zaštite porodice sa djecom Federacije BiH
Zakon o socijalnoj zaštiti, zaštiti civilnih žrtava rata i zaštiti porodice sa djecom Kantona Sarajevo. Zakon o Radu FBiH: "Član 8.
Zaposlenik, kome prestane radni odnos, prijavom službi za zapošljavanje, ostvaruje pravo na zdravstvenu zaštitu u slucaju bolesti i invalidnosti, pravo na materijalno osiguranje i druga prava za vrijeme nezaposlenosti, u skladu sa zakonom."</t>
  </si>
  <si>
    <t>(matični ured mjesta rodjenja maloljetne osobe)</t>
  </si>
  <si>
    <t>1. Kopija lične karte;
 2. Kopija prijave mjesta boravišta–prebivališta;
 3. Kopija rodnog lista;
 4. Potvrda sa Biroa za zapošljavanje; 
5. Uvjerenje PIO–MIO;
 6. Uvjerenje o kretanju iz MUP–a;
 7. Kopija svjedočanstva;
 8. Kopija diplome;
 9. Potvrda mjesne zajednice;
 10. Nalaz o kategorizaciji.
Napomena: Sve kopije moraju biti ovjerene u općinskom organu uprave.</t>
  </si>
  <si>
    <t>https://kcsr.ba/file/kcsr9/266</t>
  </si>
  <si>
    <t>Osobe sa 60 % i više invaliditeta da imaju pravo na finansiranje /sufinansiranje troškova profesionalne rehabilitacije kroz vanredno srednje školovanje, visoko stručno obrazovanje ili postdiplomsko studiranje.</t>
  </si>
  <si>
    <t>Fond za profesionalnu rehabilitaciju</t>
  </si>
  <si>
    <t>Vilsonovo šetalište 10</t>
  </si>
  <si>
    <t>https://fond.ba/</t>
  </si>
  <si>
    <t>info@fond.ba</t>
  </si>
  <si>
    <t xml:space="preserve">Zakon o profesionalnoj rehabilitaciji, osposobljavanju i zapošljavanju osoba sa invaliditetom („Sl. novine FBiH“ 9/10), Fond za profesionalnu rehabilitaciju i zapošljavanje osoba sa invaliditetom objavljuje javne pozive iz oblasti profesionalne rehabilitacije (Fond). </t>
  </si>
  <si>
    <t>Prijava na javni poziv od strane Fonda</t>
  </si>
  <si>
    <t>Dvije (2) mjenične izjave
Mjenične izjave ćete dobiti u Fondu ali ukoliko osoba sa invaliditetom opunomoćuje nekoga drugog za potpis Ugovora, dužna je po istom dostaviti dvije mjenične izjave koje može preuzeti OVDJE. Na ove mjenične izjave, osoba sa invaliditetom dužna je staviti samo pečat i potpis bez popunjavanja ostalih podataka.
Ukoliko se neko drugi ovlašćuje da potpiše Ugovor sa Fondom, potrebno je dostaviti punomoć ovjerenu kod notara ili punomoć koja je ovjerena u općini, u kojoj piše „Da može potpisati ugovor sa Fondom za profesionalnu rehabilitaciju i zapošljavanje osoba sa invaliditetom i svu ostalu dokumentaciju vezano za zaključenje ugovora“.
Potvrda o priznavanju prava na profesionalnu rehabilitaciju od strane Službe za zapošljavanje ukoliko nije dostavljena uz aplikaciju (ORIGINAL).
Dokaz o izvršenom upisu u predmetnu školsku/akademsku godinu (ugovor o školovanju/studiranju – ovjerena fotokopija ili potvrda obrazovne ustanove – original), ukoliko ista nije dostavljena uz aplikaciju.
Potvrda banke sa naznačenim brojem tekućeg računa za osobu sa invaliditetom – lični račun ne starija od 15 dana.
Ukoliko je osoba u međuvremenu uplatila sredstva za školovanje obrazovnoj ustanovi (djelimično ili u potpunosti), dostavlja originalni dokaz o uplati sredstava (virman, uplatnica, potvrda školske ustanove) ukoliko isti nije dostavila uz aplikaciju.</t>
  </si>
  <si>
    <t>https://fond.ba/uputstvo-za-potpisivanje-ugovora-programi-9/</t>
  </si>
  <si>
    <t>Federalni nivo!</t>
  </si>
  <si>
    <t>Roditelji djeteta s težim smetnjama u razvoju imaju pravo na rad polovine punog radnog vremena uz naknadu plaće, te su zaštićeni od rada noću, prekovremeno i promjene mjesta rada bez svojeg pisanog pristanka kako bi se omogućila bolja briga i podrška djetetu.</t>
  </si>
  <si>
    <t>Član 64
Nakon isteka godine dana života djeteta, jedan od roditelja ima pravo da radi polovinu punog radnog vremena do tri godine života djeteta, ako je djetetu, prema nalazu nadležne zdravstvene ustanove, potrebna pojačana briga i njega.
Član 69
(1) Jedan od roditelja djeteta sa težim smetnjama u razvoju (teže hendikepiranog djeteta) ima pravo da radi polovinu punog radnog vremena, u slučaju da se radi o samohranom roditelju ili da su oba roditelja zaposlena, pod uvjetom da dijete nije smješteno u ustanovu socijalno - zdravstvenog zbrinjavanja, na osnovu nalaza nadležne zdravstvene ustanove.
(2) Roditelju, koji koristi pravo iz stava 1. ovog člana, pripada pravo na naknadu plaće, u skladu sa zakonom.
(3) Roditelju koji koristi pravo iz stava 1. ovog člana, ne može se narediti da radi noću, prekovremeno i ne može mu se promijeniti mjesto rada, ako za to nije dao svoj pisani pristanak.</t>
  </si>
  <si>
    <t>Osobe sa invaliditetom imaju pravo na zapošljavanje i rad na tržištu rada pod opštim i posebnim uslovima. Pod opštim uslovima, OSI se mogu zaposliti u različitim subjektima javnog i privatnog sektora. U javnom sektoru osobe sa invaliditetom imaju povlaštena prava pri zapošljavanju ako ispunjavaju i opšte i posebne uslove za posao</t>
  </si>
  <si>
    <r>
      <t xml:space="preserve">Članak 15.
Osobe s invaliditetom upošljavaju se i rade na tržištu rada pod opdim i posebnim uvjetima.
Pod općim uvjetima upošljavaju se osobe s invaliditetom na otvorenome tržištu rada, u državnim tijelima, tijelima
pravosuđa, tijelima lokalne uprave, javnim službama, ustanovama, fondovima, javnim poduzećima, gospodarskim društvima i drugim pravnim osobama koje nisu osnovane za upošljavanje osoba s invaliditetom, sukladno zakonu.
</t>
    </r>
    <r>
      <rPr>
        <b/>
        <sz val="8"/>
        <color rgb="FF374151"/>
        <rFont val="Segoe UI"/>
        <family val="2"/>
      </rPr>
      <t>Prednost pri upošljavanju u subjektima iz stavka 2. ovoga članka u okviru javnoga sektora imaju osobe s invaliditetom ako, pored općih, ispunjavaju i posebne uvjete za radno mjesto</t>
    </r>
    <r>
      <rPr>
        <sz val="8"/>
        <color rgb="FF374151"/>
        <rFont val="Segoe UI"/>
        <family val="2"/>
      </rPr>
      <t>.
Pod posebnim uvjetima upošljavaju se osobe s invaliditetom u ustanovi ili gospodarskom društvu što su osnovani radi upošljavanja osoba s invaliditetom.</t>
    </r>
  </si>
  <si>
    <t>Izdaje se znak pristupačnosti u svrhu obilježavanja vozila kojim upravlja osoba sa oštećenim ekstremitetima u prometu da bi takvo vozilo imalo prednost pri parkiranju.</t>
  </si>
  <si>
    <t>Ministarstvo unutrašnjih poslova›Uprava za građanska stanja i pravne poslove</t>
  </si>
  <si>
    <t>La Benevolencija 16</t>
  </si>
  <si>
    <t>https://mup.ks.gov.ba/sites/mup.ks.gov.ba/files/2023-01/obrasci_znak_pristupacnosti.pdf</t>
  </si>
  <si>
    <t>Zakon o osnovama sigurnosti saobraćaja na putevima u Bosni i Hercegovini („Službeni glasnik Bosne i Hercegovine“ br. 6/06, 75/06 – ispravka, 44/07, 84/09, 48/10, 18/13, 8/17, 89/17, 9/18 i 46/23); Zakon o upravnom postupku (“Službene novine Federacije Bosne i Hercegovine” br. 2/98, 48/99 i 61/22); Pravilnik o obilježavanju vozila kojim upravlja osoba sa oštećenim ekstremitetima ili kojim se prevozi osoba sa invaliditetom 100% („Službeni glasnik Bosne i Hercegovine“ 54/17)</t>
  </si>
  <si>
    <t>Zahtjev prema MUP-u KS - ispostavama po općinama</t>
  </si>
  <si>
    <t xml:space="preserve">Posljednje izdato rješenje o stepenu oštećenja ekstremiteta bitnog za upravljanje vozilom ili posljednji nalaz, ocjenu ili mišljenje izdato od tijela entiteta Bosne i Hercegovine, kantona nadležnih za utvrđivanje stepena oštećenja ekstremiteta
Dvije fotografije dimenzija 30×35 mm
Lična karta (na uvid)
Vozačka dozvola (na uvid)
Potvrda da je vozilo u vlasništvu osobe sa oštećenim ekstremitetima ili da se vozilo koristi po osnovu Ugovora o lizingu
Potvrda da je vozilo u vlasništvu osobe sa invaliditetom 100% ili roditelja, staratelja ili člana domaćinstva osobe sa 100% invaliditetom ili da se vozilo koristi po osnovu Ugovora o lizingu
Posljednje rješenje ili posljednji nalaz, ocjenu ili mišljenje o stepenu invaliditeta 100%, izdato od tijela entiteta Bosne i Hercegovine, kantona nadležnih za utvrđivanje stepena invaliditeta
Dokaz o statusu roditelja, staratelja ili člana domaćinstva osobe sa 100% invaliditetom
Rješenje o registraciji udruženja
Potvrda da je vozilo u vlasništvu udruženja ili da se vozilo koristi po osnovu Ugovora o lizingu
Posljednje rješenje ili posljednji nalaz, ocjenu ili mišljenje o stepenu invaliditeta 100%, izdato od tijela entiteta Bosne i Hercegovine, kantona nadležnih za utvrđivanje stepena invaliditeta za nekoliko članova udruženja
Dokaz da su osobe sa invaliditetom 100% članovi udruženja
</t>
  </si>
  <si>
    <t>https://ap.ks.gov.ba/administrativni-postupak/izdavanje-znaka-pristupacnosti</t>
  </si>
  <si>
    <t>Ostvarivanje prava RVI-a na medicinsko - sanitetski materijal.</t>
  </si>
  <si>
    <t>Ministarstvo zdravstva KS</t>
  </si>
  <si>
    <t>Reisa Džemaludina Čauševića 1, Sarajevo</t>
  </si>
  <si>
    <t>https://mz.ks.gov.ba/</t>
  </si>
  <si>
    <t>jasminka.ramic@mz.ks.gov.ba</t>
  </si>
  <si>
    <t>Zakon o dopunskim pravima boraca-branitelja Bosne i Hercegovine, član 7. (“Službene novine FBiH” br:2/02 i 28/03 ); Odluka o proširenom obimu prava za korištenje ortopedskih pomagala, lijekova, medicinsko-sanitetskih sprava i materijala za ratne vojne invalide sa područja Kantona Sarajevo, član 1. (“Službene novine Kantona Sarajevo” br: 13/04, 11/06 i 16/11 )</t>
  </si>
  <si>
    <t>https://mz.ks.gov.ba/node/7923</t>
  </si>
  <si>
    <t>Osobe s invaliditetom i poteškoćama u razvoju mogu biti oslobođene plaćanja uvoznih dadžbina, odnosno carine i PDV-a, ako planiraju kupiti i uvesti automobil koji će im poslužiti kao ortopedsko ili drugo pomagalo.
Pravo na oslobađanje odnosi se na period od pet godina, što znači nakon uvoza vozila na ovaj način, u narednih pet godina ne mogu na isti način uvesti vozilo. Tek nakon isteka perioda od pet godina mogu ponovo na povlasticu uvesti vozilo. Isto tako, vozilo ne smiju prodati u trajanju od tri godine od dana uvoza, jer ako to urade moraju platiti sve uvozne dažbine.
Invalidna osoba može uvesti putnički automobil do vrijednosti od 30.000 KM ako nije posebno prilagođen za upravljanje invalidnih osoba ili bez ograničenja vrijednosti ako se uvozi putnički automobil posebno prilagođen za prijevoz invalidnih osoba.</t>
  </si>
  <si>
    <t>Prevoz i kretanje</t>
  </si>
  <si>
    <t>MUP Kantona Sarajevo</t>
  </si>
  <si>
    <t>Zahtjev za oslobadjanje od plaćanja carine podnosi se nadležnoj carinskoj upravi</t>
  </si>
  <si>
    <t>- nalaz ocjena ili mišljenje o stepenu oštećenja ekstremiteta bitnog za upravljanje vozilom izdatog od strane organa entiteta, BiH i Brčko distrikta BiH,
- dvije fotografije dimenzija 30 s 35 mm,
- lična karta na uvid i
- fotokopija potvrde o vlasništvu nad motornim vozilom.</t>
  </si>
  <si>
    <t>Od obaveze plaćanja RTV takse oslobađaju se vlasnici prijemnika koji su trajno izgubili vid ili sluh i žive sami u domaćinstvu ili sa starateljem.</t>
  </si>
  <si>
    <t>Radio–televizija Bosne i Hercegovine</t>
  </si>
  <si>
    <t>Bulevar Meše Selimovića 12</t>
  </si>
  <si>
    <t>Zahtjev za ostvarenje prava podnosi se Radio–televiziji Bosne i Hercegovine u Sarajevu.</t>
  </si>
  <si>
    <t>Zahtjev
Kopija lične karte
Kućna lista
Dokument o starateljstvu koji izdaje centar za socijalni rad u mjestu prebivališta
Kopiju lične karte;
Kućnu listu;
Dokument o starateljstvu (ako ga imate) koji izdaje centar za socijalni rad u mjestu prebivališta</t>
  </si>
  <si>
    <t>http://www.sluzbenilist.ba/page/akt/lbKAkKGaEwg=</t>
  </si>
  <si>
    <t>Djeca ometena u fizičkom ili psihičkom razvoju sa navršenih 15 godina, odnosno 18 godina života, ostvaruju pravo na školovanje i osposobljavanje za samostalni život i rad kroz redovne srednje škole ili srednje škole specijalnog tipa koje mogu imati internatski smještaj.</t>
  </si>
  <si>
    <t>https://kcsr.ba/file/kcsr20/273</t>
  </si>
  <si>
    <t>Općina Centar sufinansira: Naknade troškova prijevoza učenika/ca s invaliditetom koji za potrebe odlaska i povratka na nastavni proces koriste javni linijski saobraćaj (mjesečni kupon za učenika/ca i pratioca)
 Naknade troškova prijevoza učenika/ca s invaliditetom koji za potrebe odlaska i povratka na nastavni proces koriste putnički automobil</t>
  </si>
  <si>
    <t>Općina Centar</t>
  </si>
  <si>
    <t>Mis Irbina 1, 71000 Sarajevo, BiH</t>
  </si>
  <si>
    <t>https://www.centar.ba/gradjani/put-do-pravahttps://centar.ba/gradjani/put-do-prava/porodica/skolovanje/naknada-troskova-prijevoza-djece-sa-invaliditetom</t>
  </si>
  <si>
    <t>lejla.dizdarevic@centar.ba</t>
  </si>
  <si>
    <t xml:space="preserve"> Potvrda o upisu učenika/ce u tekuću školsku godinu       
Dokumentacija kojom se dokazuje invalidnost  – rješenje o invalidnosti (potrebno dostaviti samo u slučaju kada se prvi put podnosi zahtjev);           
Potvrda o evidenciji prebivališta / boravišta lica CIPS/MUP KS     
Izjava korisnika pomoći/zakonskog zastupnika o udaljenosti obrazovne ustanove do mjesta stanovanja sa tačno naznačenom kilometražom u oba pravca; 
Potvrda od banke o otvorenom računu podnosioca zahtjeva – kopija bankovnog računa   (ukoliko roditelj / staratelj dostavlja svoj transakcijski račun (potvrdu od banke), potrebno je da dostavi i svoju CIPS potvrdu o evidenciji prebivališta)</t>
  </si>
  <si>
    <t>https://centar.ba/documents/preview/93713/13-15-zahtjev-za-naknadu-troskova-prijevoza-djece-sa-invaliditetom</t>
  </si>
  <si>
    <t>Općina Novi Grad Sarajevo sufinansira, kroz službu za obrazovanje, kulturu i sport..</t>
  </si>
  <si>
    <t>Potvrda/uvjerenje o upisu učenika/korisnika u obrazovnu ustanovu za školsku 2023/2024. godinu
(original)
2. CIPS-ova prijavanica za učenika/ korisnika i staratelja/pratioca (ovjerena kopija, ne starija od tri
mjeseca)
3. Dokumentacija kojom se dokazuje postojanje poteškoća u kretanju za učenika/ korisnika
4. Ovjerena izjava korisnika pomoći/zakonskog zastupnika da nema obezbijeđen prijevoz po drugom
osnovu
5. Učenici/korisnici koji za prijevoz koriste putnički automobil (Ovjerena izjava zakonskog zastupnika)
6. Ovjerena izjava zakonskog zastupnika/korisnika o udaljenosti obrazovne ustanove do mjesta
stanovanja sa obavezno naznačenom kilometražom u oba pravca
7. Broj transakcijskog računa za uplatu sredstava
8. Kopija iskaznice za roditelja/staratelja/ pratioca i učenika ukoliko se zahtjev odnosi na kupovinu
kupona za javni linijski saobraćaj (sa jasno vidljivom cijenom kupona)
9. Potpisana izjava – saglasnost za obradu podataka (na poleđini Zahtjeva)</t>
  </si>
  <si>
    <t>https://www.novigradsarajevo.ba/document/zahtjev-za-naknadu-troskova-prijevoza-ucenika-ca-s-poteskocama-u-kretanju/</t>
  </si>
  <si>
    <t>Asistenti u nastavi se uvode sa ciljem da, u skladu sa potrebama djece, pruže pomoć i podršku inkluzivnom obrazovanju. Predstavljaju pomoć odgajatelju/nastavniku i stručnim saradnjicima u cilju unapređenja njihovog rada sa dijecom. IPP definira potrebu za asistentima u nastavi. Obuku, akreditaciju asistenata i nadzor nad radom asistenata vrši Prosvjetno-pedagoški zavod, u skladu sa propisom koji donosi ministar.</t>
  </si>
  <si>
    <t>Ministarstvo odgoja i obrazovanja</t>
  </si>
  <si>
    <t xml:space="preserve"> Reisa Džemaludina Čauševića 1, 71000 Sarajevo     </t>
  </si>
  <si>
    <t>https://mo.ks.gov.ba/kontakti</t>
  </si>
  <si>
    <t xml:space="preserve">mo@mo.ks.gov.ba </t>
  </si>
  <si>
    <t>Zakon o osnovnom odgoju i obrazovanju (Službene novine Kantona Sarajevo, 23/2017, 33/2017, 30/2019, 34/2020, 33/2021)
Pravilnik o inkluzivnom obrazovanju (Službene novine Kantona Sarajevo, 32/19)</t>
  </si>
  <si>
    <t>Nije definisan; Nema upute kako "započeti" proces za roditelja/dijete. Definirano je da ustanova/centar treba da se obrati ministarstvu za dodatnu podršku, ministarstvo rješava zahtjeve (prema obrascu) za 15 dana.</t>
  </si>
  <si>
    <t>Nije definisano</t>
  </si>
  <si>
    <t>N/a</t>
  </si>
  <si>
    <t>Program edukacijsko-rehabilitacijskih tretmana sastoji se od posebnih defektoloških/edukacijsko-rehabilitacijskih sadržaja koji se različitim postupcima provode u svrhu uspješnijeg usvajanja nastavnih sadržaja kao i za pospješivanje boljeg fukncioniranja.</t>
  </si>
  <si>
    <t xml:space="preserve">IPP je dokument koji se odnosi na sadržajno i metodičko prilagođavanje u radu s djecom. Uključuje prilagođavanje sadržaja djetetovim mogućnostima. Prilagođenim programom, specifičnim za svakog učenika (prilagođavanje, prvenstevno sposobnostima, mogućnostima i potrebama) utvrđuje se oblik i nivo podrške u oblasti akademskih i vanakademskih znanja i vještina, vrijeme i trajanje podrške, kao i kriteriji, sredstva i metode vrednovanja uspješnosti u učenju i socijalnim i drugim područjima funkcioniranja djeteta. Izrađuje se u situaciji kada je stepen teškoće takav da dijete ne može isti savladati čak ni programom koji traži minimalne programske zahtjeve. </t>
  </si>
  <si>
    <t xml:space="preserve">Reisa Džemaludina Čauševića 1, 71000 Sarajevo     </t>
  </si>
  <si>
    <t>Djeca i odrasle osobe koji su uključeni u specijalno školovanje imaju pravo na dnevni boravak u posebnim ustanovama ili smještaj u internatskim ustanovama ako to preporuči Stručna komisija ili Stručna institucija.</t>
  </si>
  <si>
    <t>Član 39
Djeca i odrasle osobe koje se nalaze na specijalnom školovanju imaju pravo na dnevni boravak u specijalnim ustanovama ili smještaj u ustanovama internatskog tipa ukoliko je takav boravak ili smještaj preporučen mišljenjem Stručne komisije, odnosno Stručne institucije</t>
  </si>
  <si>
    <t>Pravo na produženo obrazovanje za djecu do 18 godina ako zbog invaliditeta nisu mogla završiti osnovno obrazovanje.</t>
  </si>
  <si>
    <r>
      <t xml:space="preserve">Član 35
Pravo na osposobljavanje za život i rad obezbjeđuje se djeci ometenoj u fizičkom ili psihičkom razvoju i djeci kod kojih postoji invalidnost prouzrokovana povredom ili bolešću do navršenih 15 godina života kroz osnovno školovanje u redovnim školama ili školama specijalnog tipa koje mogu imati internatski smještaj.
</t>
    </r>
    <r>
      <rPr>
        <b/>
        <sz val="8"/>
        <color rgb="FF374151"/>
        <rFont val="Segoe UI"/>
        <family val="2"/>
      </rPr>
      <t>Izuzetno od prethodnog stava, pravo na školovanje i osposobljavanje za život i rad ostvaruju djeca do navršenih 18 godina života, ukoliko zbog fizičkih ili psihičkih smetnji nisu bila u stanju završiti osnovno školovanje i osposobljavanje za život i rad u predviđenom roku</t>
    </r>
    <r>
      <rPr>
        <sz val="8"/>
        <color rgb="FF374151"/>
        <rFont val="Segoe UI"/>
        <family val="2"/>
      </rPr>
      <t>.</t>
    </r>
  </si>
  <si>
    <t>Pravo na školovanje i osposobljavanje za život i rad osigurava se djetetu do njegovih 26. godina života. Ako je pravo već ranije uspostavljeno, može trajati i nakon 26. godine života, ali najkasnije do 29. godine života.</t>
  </si>
  <si>
    <t>Član 36
Djeca ometena u fizičkom ili psihičkom razvoju sa navršenih 15 godina, odnosno 18 godina života, ostvaruju pravo na školovanje i osposobljavanje za samostalni život i rad kroz redovne srednje škole ili srednje škole specijalnog tipa kojemogu imati internatski smještaj, ako su ispunjeni slijedeći uvjeti:
- da je dijete završilo osnovno obrazovanje;
- da postoji vjerovatnost da se dijete, s obzirom na ometenost u fizičkom ili psihičkom razvoju i stepen preostale sposobnosti, može primjenom ovog prava osposobiti za samostalan život i rad;
- da postoji vjerovatnoća da se osposobljavanje djeteta može postići u trajanju do četiri godine.
Pravo na školovanje i osposobljavanje za život i rad obezbjeđuje se djetetu do navršenih 26 godina života, odnosno i poslije navršenih 26 godina života, ukoliko je to pravo ranije uspostavljeno, a najkasnije do navršenih 29 godina života.</t>
  </si>
  <si>
    <t>Centar za dnevni boravak pruža starim i drugim punoljetnim osobama usluge dnevnog ili poludnevnog boravka, ishranu, stručnu pomoć, servisne usluge, održavanje higijene, organizaciju slobodnog vremena, organizovan odmor i rekreaciju, kulturno-zabavni život i druge aktivnosti.</t>
  </si>
  <si>
    <t>KJU “Gerontološki centar” putem JU Kantonalni centar za socijalni rad.</t>
  </si>
  <si>
    <t>Aleja Bosne Srebrene 7
71000 Sarajevo</t>
  </si>
  <si>
    <t>https://www.gcs.ba</t>
  </si>
  <si>
    <t>info@gcs.ba</t>
  </si>
  <si>
    <t xml:space="preserve">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</si>
  <si>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Status korisnika Centra za dnevni boravak se ostvaruje podnošenjem zahtjeva od strane osobe koja će biti korisnik usluga ili člana njegove uže porodice ili staratelja ukoliko ga ima.</t>
  </si>
  <si>
    <t xml:space="preserve">Uz zahtjev za korištenje usluga Centra za dnevni boravak prilažu se sljedeći dokumenti osobe koja će biti korisnik ovih usluga:
1) kopija lične karte (na uvid) i
2) kopija zdravstvene dokumentacije - nalazi ljekara, kao dokaz zdravstvenog stanja, ne starija od 6 mjeseci od dana podnošenja zahtjeva.
•	U zahtjevu se navode usluge koje će se koristiti.
</t>
  </si>
  <si>
    <t>Zdravstvena njega polupokretnih i nepokretnih starih, iznemoglih, bolesnih i invalidnih osoba, koje ne zahtijevaju bolnički tretman ili je isti završen i kod kojih se svrha pružanja odgovarajuće pomoći može ostvariti u njihovoj kući. Pomoć u kući obuhvata različite usluge, kojima se pruža pomoć starijim osobama u njihovim domovima i olakšava život u starosti. Ove usluge podrazumijevaju pomoć u domaćinstvu u smislu održavanja higijene prostora u kome korisnik živi, usluge higijene ličnog i posteljnog rublja, pomoć u ishrani dostavom obroka hrane na adresu korisnika, pomoć u nabavci namirnica i lijekova, usluge raznih kućnih opravki i druge neophodne usluge.</t>
  </si>
  <si>
    <t>Zakon o osnovama socijalne zaštite, zaštite civilnih žrtava rata i zaštite porodice sa djecom („Službene novine FBiH“ broj: 36/99, 54/04, 39/06, 14/09, 45/16, 40/18), član 12 i 19 i 47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04.06.2018. godine i Pravilnik o izmjenama i dopunama Pravilnika o načinu prijema i otpustu korisnika usluga Kantonalne javne ustanove „Gerontološki centar“ Sarajevo, broj:12-1678/18 od 28.12.2018. godine</t>
  </si>
  <si>
    <t>Cijena usluga Kućne njege i pomoći u kući naplaćuje se po satu i iznosi 10,00 KM.</t>
  </si>
  <si>
    <t>Samo za osobe za prebivalištem u Općini Centar, Sarajevo</t>
  </si>
  <si>
    <t>https://www.centar.ba/gradjani/put-do-prava/porodica/treca-zivotna-dob</t>
  </si>
  <si>
    <t>info@centar.ba</t>
  </si>
  <si>
    <t>Osnovni uvjeti za ostvarivanje prava su:
prebivalište na području općine Centar Sarajevo od najmanje jedne godine do dana podnošenja zahtjeva ili boravište po osnovu statusa raseljene osobe;
da je podnosilac zahtjeva penzioner ili lice starije od 60. godina bez primanja;
da se lijek za koji se traži jednokratna novčana pomoć ne finansira ili djelimično sufinansira putem Zavoda zdravstvenog osiguranja;
da ukupna primanja porodičnog domaćinstva podnosioca zahtjeva ne prelaze iznos dvije minimalne penzije ostvarene u FBiH prema posljednjim statističkim pokazateljima;</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</si>
  <si>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Preporuka nadležnog ljekara o potrebi korištenja određenog lijeka;
Predračun apoteke za lijek koji je potreban a koji se ne finansira ili sufinansira putem Zavoda zdravstvenog osiguranja KS.</t>
  </si>
  <si>
    <t>https://www.centar.ba/gradjani/put-do-prava/socijalna-zastita/socijalna-zastita/kupovina-lijekova-penzionerima-i-licima-preko-60-godina-starosti-bez-primanja</t>
  </si>
  <si>
    <t>Za socijalno ugrožene</t>
  </si>
  <si>
    <t>Ostvarivanje prava na novčanu naknadu za pomoć i njegu od strane druge osobe licima starijim od 65.godina, kojima je zbog trajnih promjena u zdravstvenom stanju prijeko potrebna pomoć i njega od strane druge osobe za zadovoljavanje njihovih osnovnih životnih potreba. Ovim postupkom se obezbjeđuje sredstava kojima finansiraju troškove angažovanja druge osobe, te se realizira u suradnji sa nadležnim općinama</t>
  </si>
  <si>
    <t>(općina prema mjestu prebivališta podnosioca zahtjeva)
(dokaz o primanjima – potvrda o visini ličnog dohotka, potvrda Službe za zapošljavanje, potvrda PIO, potvrda škole/fakulteta)
(poreska uprava -prema mjestu prebivališta/boravišta podnosioca zahtjeva)</t>
  </si>
  <si>
    <t>https://kcsr.ba/file/kcsr6/263</t>
  </si>
  <si>
    <t xml:space="preserve"> info@centar.ba</t>
  </si>
  <si>
    <t>Osnovni uvjeti za ostvarivanje prava su:
da podnosilac zahtjeva ima prebivalište na području općine Centar Sarajevo najmanje jednu godinu do dana podnošenja zahtjeva ili boravište po osnovu statusa raseljene osobe;
da je podnosilac zahtjeva penzioner ili lice starije od 60. godina bez primanja;
da ukupna primanja porodičnog domaćinstva podnosioca zahtjeva ne prelaze iznos dvije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
da je podnosiocu zahtjeva putem nadležnog Centra za socijalni rad utvrđeno pravo na tuđu njegu i pomoć od strane druge osobe.</t>
  </si>
  <si>
    <t>Uvjerenje o kretanju podnosioca zahtjeva;
dokaz da je podnosilac zahtjeva penzioner ili lice preko 60 godina bez primanja;
dokaz o visini primanja za sve punoljetne članove domaćinstva;
rješenje nadležne Službe socijalne zaštite/Centar za socijalni rad o priznatom pravu na tuđu njegu i pomoć od strane druge osobe.</t>
  </si>
  <si>
    <t>https://www.centar.ba/gradjani/put-do-prava/socijalna-zastita/socijalna-zastita/novcana-pomoc-za-troskove-kucne-njege</t>
  </si>
  <si>
    <t>Osoba može ostvariti smještaj u Gerontološkom centru na osnovu podnesenog zahtjeva za smještaj i ugovora o smještaju zaključenog sa Gerontološkim centrom, ako ispunjava uslove propisane Pravilnikom o načinu prijema i otpustu korisnika usluga Kantonalne javne ustanove „Gerontološki centar“.</t>
  </si>
  <si>
    <t xml:space="preserve">Zakon o osnovama socijalne zaštite, zaštite civilnih žrtava rata i zaštite porodice sa djecom („Službene novine FBiH“ broj: 36/99, 54/04, 39/06, 14/09, 45/16, 40/18), član 12., 16., 19., 41. i 45.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</si>
  <si>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Status korisnika usluga smještaja u Gerontološkom centru može steći punoljetna osoba na osnovu ličnog zahtjeva osobe, zahtjeva člana njegove uže porodice ili zakonskog staratelja ukoliko ga ima ili druge fizičke osobe ukoliko osoba nema članova uže porodice ili isti borave izvan Bosne i Hercegovine i isti ovlaste drugu fizičku osobu da u njihovo ime podnese zahtjev i zaključi ugovor o korištenju usluga. Zahtjev za smještaj se podnosi u pisanom obliku, na propisanom obrascu, koji osim ličnih podataka osobe koja će koristiti uslugu, sadrži i podatke o podnosiocu zahtjeva, podatke o potpisniku / supotpisniku ugovora o smještaju te vrsti usluge. Kompletiran zahtjev sa potrebnom dokumentacijom neposredno se predaje šefu službe za socijalni rad ili socijalnom radniku Gerontološkog centra. Zahtjev obavezno potpisuju osobe koje će biti potpisnik i supotpisnik ugovora i na taj način prihvataju obavezu plaćanja ili nadoplaćivanja troškova (cijene) usluge (naručilac usluge-obveznik plaćanja).</t>
  </si>
  <si>
    <t xml:space="preserve">UVJERENJE O DRŽAVLJANSTVU, ne starije od 6 mjeseci – ovjerena kopija;
IZVOD IZ MATIČNE KNJIGE ROĐENIH , ne stariji od 6 mjeseci – ovjerena kopija;
LIČNA KARTA – ovjerena kopija (na uvid);
POTVRDA O PRIJAVI PREBIVALIŠTA (CIPS), ne starija od 30 dana – ili ovjerena kopija;
ZDRAVSTVENA KNJIŽICA – ovjerena kopija;
POSLJEDNJI ČEK OD PENZIJE (ako je penzioner) – kopija;
POTVRDA O OTVORENOM TEKUĆEM RAČUNU ZA KORISNIKA USLUGA
(korisnik ima obavezu da otvori trajni nalog kojim će osigurati prijenos sredstava na transakcijski račun KJU „Gerontološki centar“ Sarajevo u svrhu plaćanja usluga, najkasnije sedam dana od dana prijema);
•	RJEŠENJE O STARATELJSTVU (ako se radi o osobi pod starateljstvom) – ovjerena kopija;
•	POTVRDA LJEKARA DA NE BOLUJE OD ZARAZNIH BOLESTI, NITI PSIHIČKOG OBOLJENJA, ne starija od 30 dana – ovjerena kopija;
•	POTVRDA ZA PORODICE ŠEHIDA/POG. BORACA ILI RVI ILI CŽR;
•	ZDRAVSTVENA DOKUMENTACIJA – nalazi ljekara, kao dokaz zdravstvenog stanja, ne starije od 6 mjeseci od dana podnošenja zahtjeva.
</t>
  </si>
  <si>
    <t xml:space="preserve">•	Za nezavisne / pokretne korisnike – 407,00 KM mjesečno,
Za zavisne / nepokretne korisnike – 627,00 KM mjesečno,
Jednokrevetna soba – 700,00 KM mjesečno
</t>
  </si>
  <si>
    <t>O smještaju u ustanovu KJU ”Gerontološki centar” odlučuje se rješenjem Centra (služba socijalne zaštite na čijem području lice ima prebivalište), na osnovu mišljenja Stručnog tima Centra, nalaza i mišljenja odgovarajuće zdravstvene ustanove.</t>
  </si>
  <si>
    <t xml:space="preserve">Član 42. Zakona o osnovama socijalne zaštite, zaštite civilnih žrtava rata i zaštite porodice sa djecom (“Službene novine Federacije BiH”, br. 36/99, 54/04, 39/06, 14/09, 45/16 i 40/18.
Članovi 56., 57. i 58. Zakona o socijalnoj zaštiti, zaštiti civilnih žrtava rata i zaštiti porodice sa djecom (“Službene novine Kantona Sarajevo”, broj 38/14 - Prečišćeni tekst, 38/16, 44/17 i 28/18).
</t>
  </si>
  <si>
    <t>Zahtjev za smještaj u KJU “Gerontološki centar” podnosi se putem nadležnog centra za socijalni rad prema mjestu prebivališta osobe. Centar za socijalni rad o smještaju odlučuje donošenjem rješenja. O smještaju osobe zaključuje se ugovor između JU “Kantonalni centar” za socijalni rad” i KJU “Gerontološki centar”.</t>
  </si>
  <si>
    <t>Dokumentaciju potrebnu za ostvarivanje prava na smještaj u KJU “Gerontološki centar” putem Centra za socijalni rad utvrđuje nadležni centar za socijalni rad.</t>
  </si>
  <si>
    <t>•	Smještaj u KJU “Gerontološki centar” putem nadležnog centra za socijalni rad može ostvariti stara, bolesna, nemoćna i invalidna osoba koja nema srodnika koji su obavezni na izdržavanje ili ukoliko srodnici obavezni na izdržavanje, ne mogu obezbijediti uslove za zadovoljavanje osnovnih životnih potreba. •	Mjesečna cijena za smještaj nezavisne / pokretne osobe iznosi 407,00 KM, a zavisne / nepokretne osobe iznosi 627,00 KM.</t>
  </si>
  <si>
    <t>Osnovni uvjeti za ostvarivanje prava su:
da podnosilac zahtjeva ima prebivalište na području općine Centar Sarajevo od najmanje jedne godine do dana podnošenja zahtjeva ili boravište po osnovu statusa raseljene osobe;
da je podnosilac zahtjeva penzioner ili lice starije od 60. godina bez primanja;
da ukupna primanja porodičnog domaćinstva podnosioca zahtjeva ne prelaze iznos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
da nitko od članova porodičnog domaćinstva podnosioca zahtjeva nije vlasnik preduzeća, samostalne ili dopunske djelatnosti;
da nitko od članova porodičnog domaćinstva podnosioca zahtjeva nije vlasnik niti posjednik motornog vozila; 
da podnosilac zahtjeva nema riješeno stambeno pitanje;
ukoliko je stambeno pitanje riješeno, da podnosilac zahtjeva nije vlasnik stana u zgradi kolektivnog stanovanja većeg od 50m² za jednočlano domaćinstvo a ukoliko se radi o višečlanom domaćinstvu za svakog narednog člana dodaje se 10m² po članu;
ukoliko je stambeno pitanje riješeno, da podnosilac zahtjeva nije vlasnik stana u individualnom stambenom objektu većeg od 60m² za jednočlano domaćinstvo  a ukoliko se radi o višečlanom domaćinstvu za svakog narednog člana dodaje se 15m² po članu.</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</si>
  <si>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Uvjerenje da li su punoljetni članovi porodičnog domaćinstva poreski obveznici;
Uvjerenje o vlasništvu motornog vozila za sve članove porodičnog domaćinstva;
Dokaz o kvadraturi stambene jedinice ;
Medicinska dokumentacije za oboljele članove porodičnog domaćinstva;
tekući račun podnosioca zahtjeva.</t>
  </si>
  <si>
    <t>https://www.centar.ba/gradjani/put-do-prava/socijalna-zastita/socijalna-zastita/stalna-novcana-pomoc-za-kupovinu-hljeba-i-mlijeka-lica-starija-od-60-godina-bez-primanja</t>
  </si>
  <si>
    <t>https://www.centar.ba/gradjani/put-do-prava/socijalna-zastita/socijalna-zastita/stalna-novcana-pomoc-za-kupovinu-hljeba-i-mlijeka-penzioneri-sa-minimalnom-penzijom</t>
  </si>
  <si>
    <t>Zdravstvena zaštita osoba starijih od 65 godina života, pod uslovom da nemaju zdravstveno osiguranje po drugom osnovu. Plaćanje neposrednog učešća u troškovima zdravstvene zaštite starijih od 65 godina života vršit će MRSRI KS, pod uslovom da nisu zdravstveno osigurani po drugom osnovu.</t>
  </si>
  <si>
    <t xml:space="preserve">Zakon o socijalnoj zaštiti, zaštiti civilnih žrtava rata i zaštiti porodice sa djecom („Službene novine Kantona Sarajevo“ br. 38/14 – Prečišćeni tekst, 38/16, 44/17 i 28/18); čl. 146. st. 1., 2. i 5.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</si>
  <si>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
Zahtjev za ostvarivanje prava podnosi se općini, nadležnoj službi po mjestu prebivališta podnosioca zahtjeva.
Vodi se upravni postupak u kojem se utvrđuje ispunjavanje uslova za ostvarivanje prava na zdravstvenu zaštitu.
Podnosilac zahtjeva ima pravo žalbe na rješenje prvostepenog organa kojim nije ostvario pravo na zdravstvenu zaštitu, kao i pokretanje upravnog spora pred Kantonalnim sudom u Sarajevu.
</t>
  </si>
  <si>
    <t xml:space="preserve">ovjerena kopija lične karte;
uvjerenje o državljanstvu;
CIPS prijava prebivališta;
uvjerenje o kretanju za podnosioca zahtjeva;
kućna lista;
dokazi o prihodima domaćinstva;
za djecu do 18 godina - izvod iz matične knjige rođenih;
Ostale dokaze će služba socijalne zaštite pribaviti po službenoj dužnosti u skladu sa obavezom iz čl. 134. stav (3) i 135. stav (2) Zakona o upravnom postupku, kao i druge dokaze po ocjeni voditelja postupka neophodne za utvrđivanje ispunjenosti uslova za ostvarivanje prava.
</t>
  </si>
  <si>
    <t xml:space="preserve">Uslovi za korištenje prava / usluge:
•	da je podnosilac zahtjeva državljanin Bosne i Hercegovine;
•	da podnosilac zahtjeva ima prebivalište najmanje godinu dana u Kantonu Sarajevo;
•	godine života i
•	da nije osiguran po drugom osnovu
</t>
  </si>
  <si>
    <t>Jednokratna novčana pomoć koja se godišnje dodjeljuje svim stanovnicima opštine starijim od 80 godina. Iznos zavisi od raspoloživosti sredstava u budžetu.</t>
  </si>
  <si>
    <t>Raspodjela na osnovu evidencije mjesnih zajednica</t>
  </si>
  <si>
    <t>MEDICINSKO VJEŠTAČENJE</t>
  </si>
  <si>
    <r>
      <rPr>
        <sz val="13.5"/>
        <color rgb="FF000000"/>
        <rFont val="Times New Roman"/>
        <family val="1"/>
      </rPr>
      <t xml:space="preserve">Prvi korak u slučaju sumnje na određeni stupanj invaliditeta podrazumijeva </t>
    </r>
    <r>
      <rPr>
        <b/>
        <sz val="13.5"/>
        <color rgb="FF000000"/>
        <rFont val="Times New Roman"/>
        <family val="1"/>
      </rPr>
      <t>postavljanje dijagnoze i medicinsko vještačenje</t>
    </r>
    <r>
      <rPr>
        <sz val="13.5"/>
        <color rgb="FF000000"/>
        <rFont val="Times New Roman"/>
        <family val="1"/>
      </rPr>
      <t>. Dijagnoza se postavlja u suradnji s liječnicima i specijalistima, nakon čega je potrebno zakazati medicinsko vještačenje u odgovarajućem zdravstvenom institutu ili bolnici. Proces dijagnosticiranja može se sažeti kroz sljedeće korake:</t>
    </r>
  </si>
  <si>
    <t>Zahtjev za medicinsko vještačenje možete preuzeti:</t>
  </si>
  <si>
    <t>OVDJE</t>
  </si>
  <si>
    <t>Umanjenje poreza na dohodak za zaposlene</t>
  </si>
  <si>
    <t xml:space="preserve">PwD and Elderly </t>
  </si>
  <si>
    <t>Ministarstvo/organizacija</t>
  </si>
  <si>
    <t>Godine</t>
  </si>
  <si>
    <t>Institucija</t>
  </si>
  <si>
    <t>Vremenski okvir</t>
  </si>
  <si>
    <t>65+</t>
  </si>
  <si>
    <t xml:space="preserve">Uz zahtjev za korištenje usluga Centra za dnevni boravak prilažu se sljedeći dokumenti osobe koja će biti korisnik ovih usluga:
1) kopija lične karte (na uvid) i
2) kopija zdravstvene dokumentacije - nalazi ljekara, kao dokaz zdravstvenog stanja, ne starija od 6 mjeseci od dana podnošenja zahtjeva.
U zahtjevu se navode usluge koje će se koristiti.
</t>
  </si>
  <si>
    <t>6 mjeseci</t>
  </si>
  <si>
    <t>Radni vijek, treća životna dob</t>
  </si>
  <si>
    <t>15  dana</t>
  </si>
  <si>
    <t>Samo za osobe za prebivalištem u Općini Novo Sarajevo, Sarajevo</t>
  </si>
  <si>
    <t>Novorođenče, predškolska dob, školska dob, radni vijek, treća životna dob</t>
  </si>
  <si>
    <t>Svi</t>
  </si>
  <si>
    <t>Izjava - saglasnost za obradu podataka
potvrda prijave mjesta prebivališta-boravišta (CIPS) za sve članove domaćinstva
potvrda mjesne zajednice ili ovjerena kućna lista o broju članova domaćinstva
potvrda banke o otvorenom žiro-računu
preporuke stručnog lica medicinske struke
original računi i dokaz o participaciji od Zavoda zdravstvenog osiguranja KS
pravosnažno Rješenje ili uvjerenje JU "Centar za socijalni rad"
dokaz o primanjima za sve članove domaćinstva ili potvrda o redovnom školovanju
uvjerenje iz JU "Centar za socijalni rad" da li je njihov korisnik po bilo kom osnovu, za sve članove domaćinstva
uvjerenje Porezne uprave, za sve članove domaćinstva</t>
  </si>
  <si>
    <t>12 mjeseci</t>
  </si>
  <si>
    <t>https://www.gcs.ba/</t>
  </si>
  <si>
    <t>+387 33 777 260</t>
  </si>
  <si>
    <t>mirsada@kcsr.ba &lt;mirsada@kcsr.ba&gt;;</t>
  </si>
  <si>
    <t>Zahtjev mogu podnijeti: srodnici, Centar za socijalni rad, zdravstvena ustanova itd.</t>
  </si>
  <si>
    <t>Kopija lične karte, ovjerena kopija zdravstvene knjižice, kopija posljednjeg čeka od penzije (ukoliko je osoba penzioner), kopija zdravstvene dokumentacije (nalazi ne stariji od 6 mjeseci)</t>
  </si>
  <si>
    <t xml:space="preserve">https://www.gcs.ba/publikacija/zahtjev%20za%20kucnu%20njegu.pdf </t>
  </si>
  <si>
    <t>Penzioner ili lice starije od 60. godina bez primanja</t>
  </si>
  <si>
    <t xml:space="preserve">Osigurano lice, nakon što mu ovlašteni ljekar popuni prijedlog za medicinsku rehabilitaciju, u poslovnicu Zavoda predaje: prijedlog za medicinsku rehabilitaciju, kopiju zdravstvene knjižice, kopiju medicinske dokumentacije. </t>
  </si>
  <si>
    <t xml:space="preserve">https://www.kzzosa.ba/wp-content/uploads/2023/08/Procedura-o-utvrdjivanju-prava-osiguranih-osoba-na-medicinsku-rehabilitaciju-11_2022.pdf </t>
  </si>
  <si>
    <t xml:space="preserve">Osigurano lice, nakon što mu ovlašteni ljekar popuni obrazac za medicinsko sredstvo, u poslovnicu Zavoda predaje: obrazac o preporuci medicinskog sredstva, kopiju zdravstvene knjižice, kopiju medicinske dokumentacije. </t>
  </si>
  <si>
    <t xml:space="preserve">https://www.kzzosa.ba/wp-content/uploads/2023/08/Uputstvo-o-nacinu-i-postupku-ostvarivanja-prava-na-koristenje-medicinskih-sredstava-u-ZZO-KS-11_22.pdf </t>
  </si>
  <si>
    <t>Predškolska dob, školska dob</t>
  </si>
  <si>
    <t>Djeca i mladi</t>
  </si>
  <si>
    <t> Uz zahtjev (nema propisanog obrasca) dostaviti: dokaz da je dijete osigurano u Kantonu Sarajevo, potvrdu/dopis/konzilijarno mišljenje/nalaz jedne od bolničkih zdravstvenih ustanova KS iz koje vidljivo da usluge za koje se traže sredstva nije moguće osigurati unutar iste, preporuku nadležne zdravstvene ustanove gdje se usluga može pružiti (nije obavezno), fotokopija medicinske dokumentacije, ukoliko je od liječenja do podnošenja zahtjeva proteklo više od 6 mjeseci - obrazloženje za kašnjenje sa podnošenjem zahtjeva, originalni računi (ukoliko se traži refundacija), odnosno predračuni (ukoliko se traži prethodno odobrenje)</t>
  </si>
  <si>
    <t xml:space="preserve">https://www.kzzosa.ba/wp-content/uploads/2023/08/POSLOVNIK-O-RADU-KOMISIJE-ZA-TESKO-OBOLJELU-DJECU-SA-KS-IZVAN-KS.pdf </t>
  </si>
  <si>
    <t>Djeca</t>
  </si>
  <si>
    <t>Novorođenče, predškolska dob, školska dob</t>
  </si>
  <si>
    <t>Kantonalni centar za socijalni rad - preko općinskih službi (općina prema mjestu prebivališta)</t>
  </si>
  <si>
    <t xml:space="preserve">Pravilnik o načinu ostvarivanja prava iz obaveznog zdravstvenog osiguranja ("Sl.novine FBiH" br 31/02 i 20/19) i odluke ZZOKS; Pravilnik o priznavanju troškova skupih covid lijekova i lijekova koji nisu obuhvaćeni Listom lijekova Kantona Sarajevo </t>
  </si>
  <si>
    <t xml:space="preserve">Zahtjev za refundaciju troškova lijeka, medicinskog sredstva ili liječenja koji nisu obuhvaćenim obaveznim zdravstvenim osiguranjem, a preporučeni su pacijentu, podnosi se ZZO KS (odlučuje posebna komisija). </t>
  </si>
  <si>
    <t>Uz zahtjev se dostavlja medicinska dokumentacija kojom je preporučeno lijek, liječenje ili medicinsko sredstvo, potvrda o prebivalištu i originalni račun o plaćenom lijeku, liječenju ili medicinskom sredstvu. </t>
  </si>
  <si>
    <t xml:space="preserve">https://www.kzzosa.ba/wp-content/uploads/2023/08/covid_lijek_pravilnik_20220516-1.pdf </t>
  </si>
  <si>
    <t>•	Status korisnika usluga smještaja u Gerontološkom centru može steći punoljetna osoba na osnovu ličnog zahtjeva osobe, zahtjeva člana njegove uže porodice ili zakonskog staratelja ukoliko ga ima ili druge fizičke osobe ukoliko osoba nema članova uže porodice ili isti borave izvan Bosne i Hercegovine i isti ovlaste drugu fizičku osobu da u njihovo ime podnese zahtjev i zaključi ugovor o korištenju usluga. Zahtjev za smještaj se podnosi u pisanom obliku, na propisanom obrascu, koji osim ličnih podataka osobe koja će koristiti uslugu, sadrži i podatke o podnosiocu zahtjeva, podatke o potpisniku / supotpisniku ugovora o smještaju te vrsti usluge. Kompletiran zahtjev sa potrebnom dokumentacijom neposredno se predaje šefu službe za socijalni rad ili socijalnom radniku Gerontološkog centra. Zahtjev obavezno potpisuju osobe koje će biti potpisnik i supotpisnik ugovora i na taj način prihvataju obavezu plaćanja ili nadoplaćivanja troškova (cijene) usluge (naručilac usluge-obveznik plaćanja).</t>
  </si>
  <si>
    <t xml:space="preserve">UVJERENJE O DRŽAVLJANSTVU, ne starije od 6 mjeseci – ovjerena kopija;
IZVOD IZ MATIČNE KNJIGE ROĐENIH , ne stariji od 6 mjeseci – ovjerena kopija;
LIČNA KARTA – ovjerena kopija (na uvid);
POTVRDA O PRIJAVI PREBIVALIŠTA (CIPS), ne starija od 30 dana – ili ovjerena kopija;
ZDRAVSTVENA KNJIŽICA – ovjerena kopija;
POSLJEDNJI ČEK OD PENZIJE (ako je penzioner) – kopija;
POTVRDA O OTVORENOM TEKUĆEM RAČUNU ZA KORISNIKA USLUGA
(korisnik ima obavezu da otvori trajni nalog kojim će osigurati prijenos sredstava na transakcijski račun KJU „Gerontološki centar“ Sarajevo u svrhu plaćanja usluga, najkasnije sedam dana od dana prijema);
RJEŠENJE O STARATELJSTVU (ako se radi o osobi pod starateljstvom) – ovjerena kopija;
POTVRDA LJEKARA DA NE BOLUJE OD ZARAZNIH BOLESTI, NITI PSIHIČKOG OBOLJENJA, ne starija od 30 dana – ovjerena kopija;
POTVRDA ZA PORODICE ŠEHIDA/POG. BORACA ILI RVI ILI CŽR;
ZDRAVSTVENA DOKUMENTACIJA – nalazi ljekara, kao dokaz zdravstvenog stanja, ne starije od 6 mjeseci od dana podnošenja zahtjeva.
</t>
  </si>
  <si>
    <t>Penzioner ili lice starije od 60. godina sa minimalnom penzijom</t>
  </si>
  <si>
    <t>Naknade troškova prijevoza učenika/ca s invaliditetom koji za potrebe odlaska i povratka na nastavni proces koriste javni linijski saobraćaj (mjesečni kupon za učenika/ca i pratioca).</t>
  </si>
  <si>
    <t>Prema općini prebivališta</t>
  </si>
  <si>
    <t xml:space="preserve">OPĆINA CENTAR
Obrazovanje, društvene djelatnosti, kulturu i sport
omoćnica općinskog načelnika: Lejla DIZDAREVIĆ
T: + 387 33 56 24 72
E: lejla.dizdarevic@centar.ba 
OPĆINA STARI GRAD
Služba za obrazovanje, kulturu i sport
Enida Osmanagić
po ovlaštenju Pomoćnik Općinskog načelnika za obrazovanje, kulturu i sport
e-mail: enida.osmanagic@starigrad.ba  
OPĆINA NOVO SARAJEVO
Služba za obrazovanje, kulturu i sport
Emina Rovčanin
diplomirani pravnik
Pomoćnik Općinskog načelnika
tel: +387 33 492-188, +387 33 492-189
obrazovanje@novosarajevo.ba 
emina.rovcanin@novosarajevo.ba 
OPĆINA NOVI GRAD
Služba za obrazovanje, kulturu i sport
Adisa Šuman, Rukovodioc
E-mail: adisasuman@novigradsarajevo.ba 
Telefon: 033/291–190 / Lokal 190
Soba: 510
OPĆINA ILIDŽA
Služba za obrazovanje, kulturu, sport i mlade
Adel Prašović
Pomoćnik Općinskog načelnika
E-mail: adel.prasovic@opcinailidza.ba
Telefon 033/637-218
Lokal716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
  </si>
  <si>
    <t>U skladu s Instrukcijom Ministarstva saobraćaja Kantona Sarajevo, pod brojem: 04-11-28646-2-2/21 KM od 6. 8. 2021. godine, učenicima koji se koriste putničkim automobilima za prijevoz, priznaje se naknada u iznosu od 15% cijene litre benzina tipa BMB 95 na teritoriji Bosne i Hercegovine po pređenom kilometru na putovanju od njihovih domova do obrazovnih ustanova koje pohađaju, kao i nazad, u danima kada su učenici prisutni na nastavnim aktivnostima.
Ova naknada se također odnosi na pratioce učenika koji koriste javni prijevoz. Za učenike i pratioce koji se koriste javnim prijevozom, iznos naknade se obračunava prema cijeni prijevozne karte iz tarife za prijevoz putnika javnim linijskim prijevozom na području Kantona Sarajevo. Ova naknada može se koristiti na putovanju od njihovih mjesta stanovanja do obrazovnih ustanova koje učenik/ca pohađa i nazad.
Ovim mjerama Ministarstvo saobraćaja Kantona Sarajevo ima za cilj podržati učenike u njihovim putovanjima do škole i nazad, bez obzira na to koriste li putničke automobile ili javni prijevoz. Ovo olakšava pristup obrazovanju i doprinosi boljoj dostupnosti obrazovnih ustanova za učenike u ovim općinama.</t>
  </si>
  <si>
    <t>Godišnja revizija, naknada se isplaćije mjesečno</t>
  </si>
  <si>
    <t>Korisnici</t>
  </si>
  <si>
    <t>Pravni okvir</t>
  </si>
  <si>
    <t>Novorođenče; Predškolska dob; Školska dob; Radni vijek; Treća životna dob</t>
  </si>
  <si>
    <t>PWD</t>
  </si>
  <si>
    <t>Djeca sa teškoćama u razvoju (koje podrazumijevaju: oštećenje vida, oštećenje sluha, oštećenje jezično-govorne-glasovne komunikacije i specifične teškoće u učenju, oštećenje organa i organskih sistema, intelektualne teškoće, poremećaji u ponašanju i oštećenja mentalnog zdravlja, te postojanje više vrsta teškoća u psihofizičkom razvoju)</t>
  </si>
  <si>
    <t>Usluge centara za prevenciju i rehabilitaciju, defektologa, logopeda</t>
  </si>
  <si>
    <t>Novorođenče; Predškolska dob; Školska dob</t>
  </si>
  <si>
    <t>Zakon o osnovama socijalne zaštite, zaštite civilnih žrtava rata i zaštite porodice s djecom, Član 88: Zaštita porodice sa djecom ima za cilj:
da se osiguraju svoj djeci približno jednaki uvjeti za zdrav i pravilan tjelesni, intelektualni i emocionalni razvoj u porodici, pomoć u ostvarivanju njene reproduktivne uloge, njezi, podizanju, odgoju i zaštiti djece i poboljšanju kvaliteta života porodice, razvijanje humanih odnosa u skladu sa načelima građanskog morala i solidarnosti.
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t>
  </si>
  <si>
    <t>Osobe sa invaliditetom sa posebnim potrebama u socijalnoj potrebi</t>
  </si>
  <si>
    <t>Telekomunikacije</t>
  </si>
  <si>
    <t>Školska dob; Radni vijek; Treća životna dob</t>
  </si>
  <si>
    <t>Ratni vojni invalidi - ako je rješenjem nadležne komisije za utvrđivanje stepena invalidnosti prema propisima o invalidskom osiguranju utvrđeno tjelesno oštećenje od najmanje 70%, kao i za utvrđeni stepen invalidnosti od 50% i više, ukoliko se radi o amputacijama i težim oštećenjima ekstremiteta koja uslovljavaju upotrebu vozila prilagođenih invalidnim licima;
Ostala invalidna lica - ako je rješenjem nadležne komisije za utvrđivanje stepena invalidnosti prema propisima o invalidskom osiguranju utvrđeno tjelesno ostećenje od najmanje 80%, posebno organa za kretanje (donji ekstremiteti, karlica, kralježnica) kao i drugih organa koji dovode do deformacije funkcije donjih ekstremiteta; potpuni gubitak ili oštećenje vida; teži oblik retardiranosti ili paralize.</t>
  </si>
  <si>
    <t>Zakon o porezu na dohodak FBiH</t>
  </si>
  <si>
    <t>Posebna ishrana - enteralna prehrana za djecu i odrasle; bezglutensko brašno za oboljele od celijaklije</t>
  </si>
  <si>
    <t>Ložionička 2</t>
  </si>
  <si>
    <t>Prijedlog za uključivanje osiguranih lica u programe podnose ovlašteni ljekari sa KCUS i JU Opća bolnica prema Zavodu. Nakon odobrenja Zavoda, pravo se ostvaruje putem propisanog recepta.</t>
  </si>
  <si>
    <t>Predškolska dob; Školska dob</t>
  </si>
  <si>
    <t>Predškolska dob;</t>
  </si>
  <si>
    <t>Pojašnjenje (Član)</t>
  </si>
  <si>
    <t>Zakon o socijalnoj zaštiti, zaštiti civilnih žrtava rata i zaštiti porodice sa djecom</t>
  </si>
  <si>
    <t>Novorođenče; Predškolska dob; Školska dob; Radni vijek;</t>
  </si>
  <si>
    <t>Zakon o penzijskom i invalidskom osiguranju</t>
  </si>
  <si>
    <t>Zakon o radu Federacije BiH</t>
  </si>
  <si>
    <t>Zakon o profesionalnoj rehabilitaciji, osposobljavanju i zapošljavanju osoba s invaliditetom Federacije BiH</t>
  </si>
  <si>
    <t>Zakon o roditeljima njegovateljima u Federaciji Bosne i Hercegovine</t>
  </si>
  <si>
    <t>Radni vijek; Treća životna dob</t>
  </si>
  <si>
    <t>•	Status korisnika Centra za dnevni boravak se ostvaruje podnošenjem zahtjeva od strane osobe koja će biti korisnik usluga ili člana njegove uže porodice ili staratelja ukoliko ga ima.</t>
  </si>
  <si>
    <t>Prava, definirani postupci</t>
  </si>
  <si>
    <t xml:space="preserve">•	Općina, nadležna općinska služba
•	Ministarstvo za rad, socijalnu politiku, raseljena lica i izbjeglice Kantona Sarajevo
</t>
  </si>
  <si>
    <t xml:space="preserve">•	državljanstvo Bosne i Hercegovine;Potreba za tuđom njegom i pomoći civilne žrtve rata utvrđuje se na osnovu nalaza i mišljenja nadležne ljekarske komisije određene propisom ministra Federalnog ministarstva rada i socijalne politike.
•	Vodi se upravni postupak u kojem se utvrđuje ispunjavanje uslova za ostvarivanje prava na dodatak za njegu i pomoć od strane drugog lica.
•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	da ima priznat status civilne žrtve rata i pravo na ličnu invalidninu i
•	da je nalazom i mišljenjem od strane ljekarske komisije utvrđena potreba za ortopedskim dodatkom. •	</t>
  </si>
  <si>
    <t xml:space="preserve">•	Posljednje izdato rješenje o stepenu oštećenja ekstremiteta bitnog za upravljanje vozilom ili posljednji nalaz, ocjenu ili mišljenje izdato od tijela entiteta Bosne i Hercegovine, kantona nadležnih za utvrđivanje stepena oštećenja ekstremiteta
•	Dvije fotografije dimenzija 30×35 mm
•	Lična karta (na uvid)
•	Vozačka dozvola (na uvid)
•	Potvrda da je vozilo u vlasništvu osobe sa oštećenim ekstremitetima ili da se vozilo koristi po osnovu Ugovora o lizingu
•	Potvrda da je vozilo u vlasništvu osobe sa invaliditetom 100% ili roditelja, staratelja ili člana domaćinstva osobe sa 100% invaliditetom ili da se vozilo koristi po osnovu Ugovora o lizingu
•	Posljednje rješenje ili posljednji nalaz, ocjenu ili mišljenje o stepenu invaliditeta 100%, izdato od tijela entiteta Bosne i Hercegovine, kantona nadležnih za utvrđivanje stepena invaliditeta
•	Dokaz o statusu roditelja, staratelja ili člana domaćinstva osobe sa 100% invaliditetom
•	Rješenje o registraciji udruženja
•	Potvrda da je vozilo u vlasništvu udruženja ili da se vozilo koristi po osnovu Ugovora o lizingu
•	Posljednje rješenje ili posljednji nalaz, ocjenu ili mišljenje o stepenu invaliditeta 100%, izdato od tijela entiteta Bosne i Hercegovine, kantona nadležnih za utvrđivanje stepena invaliditeta za nekoliko članova udruženja
•	Dokaz da su osobe sa invaliditetom 100% članovi udruženja
</t>
  </si>
  <si>
    <t>•izjava - saglasnost za obradu podataka
•potvrda prijave mjesta prebivališta-boravišta (CIPS) za sve članove domaćinstva
•potvrda mjesne zajednice ili ovjerena kućna lista o broju članova domaćinstva
•potvrda banke o otvorenom žiro-računu
•preporuke stručnog lica medicinske struke
•original računi i dokaz o participaciji od Zavoda zdravstvenog osiguranja KS
•pravosnažno Rješenje ili uvjerenje JU "Centar za socijalni rad"
•dokaz o primanjima za sve članove domaćinstva ili potvrda o redovnom školovanju
•uvjerenje iz JU "Centar za socijalni rad" da li je njihov korisnik po bilo kom osnovu, za sve članove domaćinstva
•uvjerenje Porezne uprave, za sve članove domaćinstva</t>
  </si>
  <si>
    <t>Lice starije od 60. godina bez primanja</t>
  </si>
  <si>
    <t xml:space="preserve">•	Zakon o osnovama socijalne zaštite, zaštite civilnih žrtava rata i zaštite porodice sa djecom („Službene novine FBiH“ broj: 36/99, 54/04, 39/06, 14/09, 45/16, 40/18), član 12., 16., 19., 41. i 45.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</si>
  <si>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 xml:space="preserve">•	UVJERENJE O DRŽAVLJANSTVU, ne starije od 6 mjeseci – ovjerena kopija;
•	IZVOD IZ MATIČNE KNJIGE ROĐENIH , ne stariji od 6 mjeseci – ovjerena kopija;
•	LIČNA KARTA – ovjerena kopija (na uvid);
•	POTVRDA O PRIJAVI PREBIVALIŠTA (CIPS), ne starija od 30 dana – ili ovjerena kopija;
•	ZDRAVSTVENA KNJIŽICA – ovjerena kopija;
•	POSLJEDNJI ČEK OD PENZIJE (ako je penzioner) – kopija;
•	POTVRDA O OTVORENOM TEKUĆEM RAČUNU ZA KORISNIKA USLUGA
(korisnik ima obavezu da otvori trajni nalog kojim će osigurati prijenos sredstava na transakcijski račun KJU „Gerontološki centar“ Sarajevo u svrhu plaćanja usluga, najkasnije sedam dana od dana prijema);
•	RJEŠENJE O STARATELJSTVU (ako se radi o osobi pod starateljstvom) – ovjerena kopija;
•	POTVRDA LJEKARA DA NE BOLUJE OD ZARAZNIH BOLESTI, NITI PSIHIČKOG OBOLJENJA, ne starija od 30 dana – ovjerena kopija;
•	POTVRDA ZA PORODICE ŠEHIDA/POG. BORACA ILI RVI ILI CŽR;
•	ZDRAVSTVENA DOKUMENTACIJA – nalazi ljekara, kao dokaz zdravstvenog stanja, ne starije od 6 mjeseci od dana podnošenja zahtjeva.
</t>
  </si>
  <si>
    <t>Teško oboljeli u terminalnoj fazi</t>
  </si>
  <si>
    <t>•	Kantonalna javna ustanova Dom za djecu bez roditeljskog staranja
•	Javna ustanova “Kantonalni centar za socijalni rad” – službe socijalne zaštite
•	Ministarstvo za rad, socijalnu politiku, raseljena lica i izbjeglice Kantona Sarajevo</t>
  </si>
  <si>
    <t>•	zahtjev za smještaj;
•	rješenje o smještaju;
•	socijalna anamneza;
•	izvod iz matične knjige rođenih;
•	zdravstvena knjižica;
•	medicinska dokumentacija (ukoliko dijete ima zdravstvene poteškoće) i
•	rješenje o starateljstvu (ukoliko je dijete pod starateljstvom nadležne službe).</t>
  </si>
  <si>
    <t xml:space="preserve">•	Član 42. Zakona o osnovama socijalne zaštite, zaštite civilnih žrtava rata i zaštite porodice sa djecom (“Službene novine Federacije BiH”, br. 36/99, 54/04, 39/06, 14/09, 45/16 i 40/18.
•	Članovi 56., 57. i 58. Zakona o socijalnoj zaštiti, zaštiti civilnih žrtava rata i zaštiti porodice sa djecom (“Službene novine Kantona Sarajevo”, broj 38/14 - Prečišćeni tekst, 38/16, 44/17 i 28/18).
</t>
  </si>
  <si>
    <t>•	Zahtjev za smještaj u KJU “Gerontološki centar” podnosi se putem nadležnog centra za socijalni rad prema mjestu prebivališta osobe. Centar za socijalni rad o smještaju odlučuje donošenjem rješenja. O smještaju osobe zaključuje se ugovor između JU “Kantonalni centar” za socijalni rad” i KJU “Gerontološki centar”.</t>
  </si>
  <si>
    <t>•	potvrda  o upisu učenika u školu/centar
•	potvrda škole da nema osiguran prijevoz
•	Cips prijava  učenika i roditelja-pratioca
•	medicinska dokumentacija 
•	saobraćajna dozvola -automibil kojim se učenik prevozi
•	ovjerena izjava o udaljenosti od mjesta stanovanja do škole 
•	broj transakcijskog računa</t>
  </si>
  <si>
    <t xml:space="preserve">•	Zakon o socijalnoj zaštiti, zaštiti civilnih žrtava rata i zaštiti porodice sa djecom („Službene novine Kantona Sarajevo“ br. 38/14 – Prečišćeni tekst, 38/16, 44/17 i 28/18); čl. 146. st. 1., 2. i 5.
•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</si>
  <si>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
•	Zahtjev za ostvarivanje prava podnosi se općini, nadležnoj službi po mjestu prebivališta podnosioca zahtjeva.
•	Vodi se upravni postupak u kojem se utvrđuje ispunjavanje uslova za ostvarivanje prava na zdravstvenu zaštitu.
•	Podnosilac zahtjeva ima pravo žalbe na rješenje prvostepenog organa kojim nije ostvario pravo na zdravstvenu zaštitu, kao i pokretanje upravnog spora pred Kantonalnim sudom u Sarajevu.
</t>
  </si>
  <si>
    <t xml:space="preserve">
•	ovjerena kopija lične karte;
•	uvjerenje o državljanstvu;
•	CIPS prijava prebivališta;
•	uvjerenje o kretanju za podnosioca zahtjeva;
•	kućna lista;
•	dokazi o prihodima domaćinstva;
•	za djecu do 18 godina - izvod iz matične knjige rođenih;
•	Ostale dokaze će služba socijalne zaštite pribaviti po službenoj dužnosti u skladu sa obavezom iz čl. 134. stav (3) i 135. stav (2) Zakona o upravnom postupku, kao i druge dokaze po ocjeni voditelja postupka neophodne za utvrđivanje ispunjenosti uslova za ostvarivanje prava.
</t>
  </si>
  <si>
    <t>Prava, nasumični postupci</t>
  </si>
  <si>
    <t>Socijalna zaštita za PwD</t>
  </si>
  <si>
    <t>Elderly</t>
  </si>
  <si>
    <t>Prevoz</t>
  </si>
  <si>
    <t>Prava, nedefinirani postupci</t>
  </si>
  <si>
    <t>Korisnici usluge</t>
  </si>
  <si>
    <t>Ponuđene usluge</t>
  </si>
  <si>
    <t>Vrsta usluge</t>
  </si>
  <si>
    <t>Preškolska dob</t>
  </si>
  <si>
    <t>Savjetovanje</t>
  </si>
  <si>
    <t>Elderely</t>
  </si>
  <si>
    <t>PWD &amp; Elderly</t>
  </si>
  <si>
    <t>Medicinska njega</t>
  </si>
  <si>
    <t>Porodični život</t>
  </si>
  <si>
    <t>Radni vijek; treća životna dob</t>
  </si>
  <si>
    <t>Pravo na liječenje rijetkih i teških oboljenja po posebnim protokolima (reumatoidini artritis, juvenilni idiopatski artritis, enteralna prehrana, bezglutensko brašno za oboljele od celijaklije): 1.	Lijekovi za oboljele od plućne arterijske hipertenzije
2.	Lijekovi za palijativnu njegu
3.	Lijekovi za liječenje tuberkuloznih pacijenata nakon bolničkog liječenja
4.	Biološka terapija za oboljele od juvenilnog idiopatskog artritisa i plak psorijaze kod djece
5.	Biološka terapija za oboljele od reumatoidnog artritisa
6.	Lijekovi za oboljele od cistične fibroze
7.	Lijekovi za oboljele od akromegalije
8.	Enteralna prehrana za djecu i odrasle
9.	Lijekovi (hormonalna terapija) za lica sa utvrđenom apsolutnom deficijencijom hormona rasta
10.	Bezglutensko brašno za oboljele od celijaklije</t>
  </si>
  <si>
    <t>Predškolska dob; školska dob</t>
  </si>
  <si>
    <t>Medicinska sredstva - ortopedska pomagala (npr. invalidska kolica, pelene, GPS narukvice za djecu, perike od prirodne kose za djecu, senzori, inzulinske pumpice)</t>
  </si>
  <si>
    <t>Posebni programi za osobe oboljele od teških i rijetkih bolesti (npr. enteralna prehrana za djecu i odrasle, bezglutensko brašno za osobe oboljele od celijakije)</t>
  </si>
  <si>
    <r>
      <t xml:space="preserve">Član 15.
Osobe s invaliditetom upošljavaju se i rade na tržištu rada pod opdim i posebnim uvjetima.
Pod općim uvjetima upošljavaju se osobe s invaliditetom na otvorenome tržištu rada, u državnim tijelima, tijelima
pravosuđa, tijelima lokalne uprave, javnim službama, ustanovama, fondovima, javnim poduzećima, gospodarskim društvima i drugim pravnim osobama koje nisu osnovane za upošljavanje osoba s invaliditetom, sukladno zakonu.
</t>
    </r>
    <r>
      <rPr>
        <b/>
        <sz val="8"/>
        <color rgb="FF374151"/>
        <rFont val="Segoe UI"/>
        <family val="2"/>
      </rPr>
      <t>Prednost pri upošljavanju u subjektima iz stavka 2. ovoga članka u okviru javnoga sektora imaju osobe s invaliditetom ako, pored općih, ispunjavaju i posebne uvjete za radno mjesto</t>
    </r>
    <r>
      <rPr>
        <sz val="8"/>
        <color rgb="FF374151"/>
        <rFont val="Segoe UI"/>
        <family val="2"/>
      </rPr>
      <t>.
Pod posebnim uvjetima upošljavaju se osobe s invaliditetom u ustanovi ili gospodarskom društvu što su osnovani radi upošljavanja osoba s invaliditetom.</t>
    </r>
  </si>
  <si>
    <t>Pravo na dnevni boravak u posebnim ustanovama ili smještaj u domovima tokom obrazovanja. Potpuno pokriće troškova dnevnog boravka od strane Centra</t>
  </si>
  <si>
    <t>Osobe sa invaliditetom i poteškoćama u razvoju</t>
  </si>
  <si>
    <t xml:space="preserve">Teška oboljela lica sa područja općine Ilidža sa preporukom za liječenje od nadležnog vijeća ljekara zdravstvenih ustanova.
</t>
  </si>
  <si>
    <t xml:space="preserve">Jednokratna novčana pomoć za teško bolesne osobe </t>
  </si>
  <si>
    <t>Predškolska i Školska dob</t>
  </si>
  <si>
    <t>Osebe sa invaliditetom i poteškoćama u razvoju</t>
  </si>
  <si>
    <t>Pravo na invalidsku penziju/mirovinu</t>
  </si>
  <si>
    <t>Roditelji djeteta s težim smetnjama u razvoju imaju pravo na rad polovine punog radnog vremena uz naknadu plaće, te su zaštićeni od rada noću, prekovremenog rada i promjene mjesta rada bez svog pisanog pristanka kako bi se omogućila bolja briga i podrška djetetu.</t>
  </si>
  <si>
    <r>
      <t xml:space="preserve">Pravo na invalidsku penziju u okviru penzijskog i invalidskog osiguranja zavisi od stepena i uzroka invalidnosti osiguranika. 
</t>
    </r>
    <r>
      <rPr>
        <b/>
        <sz val="10"/>
        <color rgb="FF374151"/>
        <rFont val="Calibri"/>
        <family val="2"/>
        <scheme val="minor"/>
      </rPr>
      <t>Kategorija invalidnosti</t>
    </r>
    <r>
      <rPr>
        <sz val="10"/>
        <color rgb="FF374151"/>
        <rFont val="Calibri"/>
        <family val="2"/>
        <scheme val="minor"/>
      </rPr>
      <t xml:space="preserve">: Osobe s I. kategorijom invalidnosti imaju pravo na invalidsku penziju.
</t>
    </r>
    <r>
      <rPr>
        <b/>
        <sz val="10"/>
        <color rgb="FF374151"/>
        <rFont val="Calibri"/>
        <family val="2"/>
        <scheme val="minor"/>
      </rPr>
      <t>Uzroci invalidnosti</t>
    </r>
    <r>
      <rPr>
        <sz val="10"/>
        <color rgb="FF374151"/>
        <rFont val="Calibri"/>
        <family val="2"/>
        <scheme val="minor"/>
      </rPr>
      <t xml:space="preserve">:
- </t>
    </r>
    <r>
      <rPr>
        <b/>
        <sz val="10"/>
        <color rgb="FF374151"/>
        <rFont val="Calibri"/>
        <family val="2"/>
        <scheme val="minor"/>
      </rPr>
      <t>Povreda na radu/profesionalna bolest</t>
    </r>
    <r>
      <rPr>
        <sz val="10"/>
        <color rgb="FF374151"/>
        <rFont val="Calibri"/>
        <family val="2"/>
        <scheme val="minor"/>
      </rPr>
      <t xml:space="preserve">: Pravo na penziju se stiče bez obzira na dužinu penzijskog staža.
- </t>
    </r>
    <r>
      <rPr>
        <b/>
        <sz val="10"/>
        <color rgb="FF374151"/>
        <rFont val="Calibri"/>
        <family val="2"/>
        <scheme val="minor"/>
      </rPr>
      <t>Povreda van rada/bolest</t>
    </r>
    <r>
      <rPr>
        <sz val="10"/>
        <color rgb="FF374151"/>
        <rFont val="Calibri"/>
        <family val="2"/>
        <scheme val="minor"/>
      </rPr>
      <t>: Pravo na penziju se stiče ukoliko osiguranik ima određeni penzijski staž, obično najmanje jednu trećinu radnog vijeka od 20 godina starosti do nastanka invalidnosti.
Osiguranici koji postanu invalidi pre 30. godine starosti moraju imati najmanje jednu godinu staža osiguranja.
Za osiguranike koji su tokom školovanja stekli visoku ili višu stručnu spremu, radni vijek se računa od 22, odnosno 25 godina starosti.</t>
    </r>
  </si>
  <si>
    <t>Penziono osiguranje</t>
  </si>
  <si>
    <t>https://www.fzmiopio.ba/wp-content/uploads/2022/11/invalidska_bos.pdf</t>
  </si>
  <si>
    <t>Pravo roditelja/staratelja njegovatelja na osiguranje</t>
  </si>
  <si>
    <t>Pravo roditelja/staratelja njegovatelja na pokrivanje troškova sahrane/dženaze</t>
  </si>
  <si>
    <t>Zakon o penzijskom i invalidskom osiguranju Federacije BiH ("Službene novine FBiH", br. 13/2018 i 93/2019 - odluka Ustavnog suda 90/2021 i 90/2021 i 19/2022)):
Član 58:
Pravo na invalidsku penziju stiče osiguranik s I. kategorijom invalidnosti.
Uzrok invalidnosti može biti povreda na radu ili profesionalna bolest (bez uslova o dužini staža) ili povreda van rada/bolest (uz uslov da osiguranik ima određeni staž).
Posebni uslovi za osiguranike koji invalidnost steknu pre 30. godine.
Član 59:
O pravu na penziju odlučuje nosilac osiguranja na osnovu nalaza Instituta.
Član 60:
Invalidska penzija se određuje isto kao i starosna penzija.</t>
  </si>
  <si>
    <t>Federalni zavod za penzijsko i invalidsko osiguranje</t>
  </si>
  <si>
    <t>Ložionička 2, Sarajevo 71000</t>
  </si>
  <si>
    <t>https://www.fzmiopio.ba/?lang=ba</t>
  </si>
  <si>
    <t>033 723-100</t>
  </si>
  <si>
    <r>
      <t xml:space="preserve">Roditelji staratelji imaju isti status osiguranja kao i zaposleni pojedinci. </t>
    </r>
    <r>
      <rPr>
        <i/>
        <sz val="8"/>
        <color rgb="FF374151"/>
        <rFont val="Segoe UI"/>
        <family val="2"/>
      </rPr>
      <t>Status roditelja njegovatelja priznaje se jednom od roditelja lica s invaliditetom sa 100% oštećenjem organizma i pravom na dodatak za njegu i pomoć od drugog lica.</t>
    </r>
  </si>
  <si>
    <t>sonja.toholj@fzmiopio.ba</t>
  </si>
  <si>
    <r>
      <t xml:space="preserve">Roditelji staratelji dobijaju novac za troškove sahrane za preminulu osobu sa invaliditetom, slično kao i federalni službenici.
Roditelju lica s invaliditetom može se priznati status roditelja njegovatelja ukoliko je nazaposlen i prijavljen na evidenciji nadležne službe za zapošljavanje. </t>
    </r>
    <r>
      <rPr>
        <i/>
        <sz val="8"/>
        <color rgb="FF374151"/>
        <rFont val="Segoe UI"/>
        <family val="2"/>
      </rPr>
      <t>Status roditelja njegovatelja priznaje se jednom od roditelja lica s invaliditetom sa 100% oštećenjem organizma i pravom na dodatak za njegu i pomoć od drugog lica.</t>
    </r>
  </si>
  <si>
    <t xml:space="preserve">Osobe sa invaliditetom imaju prednost u svim zdravstvenim ustanovama, bez čekanja u redu, a nakon informisanja zdravstvenog osoblja i ostalih u čekaonici. </t>
  </si>
  <si>
    <t>Pravo na invalidsku penziju/mirovinu za policijske službenike</t>
  </si>
  <si>
    <t xml:space="preserve">https://www.fzmiopio.ba/wp-content/uploads/2022/06/dizb-1.pdf
Obrazac / Tiskanica Z-1 (zahtjev za ostvarivanje prava).
Zaključena radna knjižica (ako je posjeduje).
Rješenje o prestanku radnog odnosa.
Potvrda ili Uvjerenje od poslodavca da ne raspolaže s podacima o nedostajućim plaćama osiguranika (ako nisu registrirane u bazama matične evidencije aktivnih osiguranika FZ PIO/MIO).
Uvjerenje od Porezne Uprave.
Uvjerenje o državljanstvu (za primjenu međunarodnog ugovora).
Izvod iz matične knjige rođenih.
Uvjerenje o prebivalištu.
Dokaz od nadležnog ministarstva o učešću u odbrani/obrani BiH.
Izjava da podnosilac zahtjeva nije u radnom odnosu.
Izjava o utvrđivanju godišnjeg ličnog/osobnog koeficijenta.
Saglasnost o posebnom stažu.
Dokaz o navršenom stažu u inostranstvu/inozemstvu.
Nalaz, ocjenu i mišljenje o radnoj sposobnosti.
Podaci za isplatu penzije/mirovine.
Dodatni podaci za korisnike koji podnose zahtjev za penziju/mirovinu primjenom međunarodnog Ugovora o socijalnom osiguranju.
Izjava da podnosilac zahtjeva nije osuđen za krivično/kazneno djelo ratnog zločina, ukoliko je bio pripadnik/ica Oružanih snaga​​​​.
</t>
  </si>
  <si>
    <t>Asistenti u nastavi se uvode sa ciljem da, u skladu sa potrebama djece, pruže pomoć i podršku inkluzivnom obrazovanju. Predstavljaju pomoć odgajatelju/nastavniku i stručnim saradnjicima u cilju unapređenja njihovog rada sa dijecom. IPP definira potrebu za asistentima u nastavi. Obuku, akreditaciju asistenata i nadzor nad radom asistenata vrši Institut za preduzniverzitetsko obrazovanje, u skladu sa propisom koji donosi ministar.</t>
  </si>
  <si>
    <r>
      <t xml:space="preserve">Pravo na invalidsku penziju u okviru penzijskog i invalidskog osiguranja zavisi od stepena i uzroka invalidnosti osiguranika. 
</t>
    </r>
    <r>
      <rPr>
        <b/>
        <sz val="10"/>
        <color rgb="FF374151"/>
        <rFont val="Calibri"/>
        <family val="2"/>
        <scheme val="minor"/>
      </rPr>
      <t>Kategorija invalidnosti</t>
    </r>
    <r>
      <rPr>
        <sz val="10"/>
        <color rgb="FF374151"/>
        <rFont val="Calibri"/>
        <family val="2"/>
        <scheme val="minor"/>
      </rPr>
      <t xml:space="preserve">: Osobe s I. kategorijom invalidnosti imaju pravo na invalidsku penziju.
</t>
    </r>
    <r>
      <rPr>
        <b/>
        <sz val="10"/>
        <color rgb="FF374151"/>
        <rFont val="Calibri"/>
        <family val="2"/>
        <scheme val="minor"/>
      </rPr>
      <t>Uzroci invalidnosti</t>
    </r>
    <r>
      <rPr>
        <sz val="10"/>
        <color rgb="FF374151"/>
        <rFont val="Calibri"/>
        <family val="2"/>
        <scheme val="minor"/>
      </rPr>
      <t xml:space="preserve">:
- </t>
    </r>
    <r>
      <rPr>
        <b/>
        <sz val="10"/>
        <color rgb="FF374151"/>
        <rFont val="Calibri"/>
        <family val="2"/>
        <scheme val="minor"/>
      </rPr>
      <t>Povreda na radu/profesionalna bolest</t>
    </r>
    <r>
      <rPr>
        <sz val="10"/>
        <color rgb="FF374151"/>
        <rFont val="Calibri"/>
        <family val="2"/>
        <scheme val="minor"/>
      </rPr>
      <t xml:space="preserve">: Pravo na penziju se stiče bez obzira na dužinu penzijskog staža.
- </t>
    </r>
    <r>
      <rPr>
        <b/>
        <sz val="10"/>
        <color rgb="FF374151"/>
        <rFont val="Calibri"/>
        <family val="2"/>
        <scheme val="minor"/>
      </rPr>
      <t>Povreda van rada/bolest</t>
    </r>
    <r>
      <rPr>
        <sz val="10"/>
        <color rgb="FF374151"/>
        <rFont val="Calibri"/>
        <family val="2"/>
        <scheme val="minor"/>
      </rPr>
      <t xml:space="preserve">: Pravo na penziju se stiče ukoliko osiguranik ima određeni penzijski staž, obično najmanje jednu trećinu radnog vijeka od 20 godina starosti do nastanka invalidnosti. 
Policijskog službenika koji usljed zadobijenih povreda na radu uzrokovanih neposrednim izvršenjem službenih poslova i zadataka bude proglašen invalidom 1. kategorije.
</t>
    </r>
  </si>
  <si>
    <t>Zakon o penzijskom i invalidskom osiguranju Federacije BiH ("Službene novine FBiH", br. 13/2018 i 93/2019 - odluka Ustavnog suda 90/2021 i 90/2021 i 19/2022)):
Zakonu o policijskim službenicima Federacije Bosne i Hercegovine</t>
  </si>
  <si>
    <t>https://www.fzmiopio.ba/wp-content/uploads/2022/06/dizpsb-1.pdf</t>
  </si>
  <si>
    <t>https://www.fzmiopio.ba/wp-content/uploads/2022/11/inavlidska_policija_bos.pdf</t>
  </si>
  <si>
    <t>https://www.fzmiopio.ba/wp-content/uploads/2022/06/dntb.pdf</t>
  </si>
  <si>
    <t>https://www.fzmiopio.ba/wp-content/uploads/2022/11/tjelesno_bos.pdf</t>
  </si>
  <si>
    <t xml:space="preserve">Logopedi, defektolozi po potrebi za djecu sa poteškoćama u razvoju, kao i za tipičnu djecu ukoliko postoji potreba za ispravljanjem npr. govora. </t>
  </si>
  <si>
    <t>Definicija fizičke onesposobljenosti: Fizička onesposobljenost uključuje gubitak, ozbiljnu povredu ili značajnu onesposobljenost organa ili dijelova tijela, što utječe na prirodnu aktivnost organizma i zahtijeva veći napor za zadovoljavanje životnih potreba. Ne bitno je li ovakvo stanje prouzrokovalo invalidnost ili ne.
Pravo na novčanu naknadu: Osiguranici s fizičkom onesposobljenošću od najmanje 30% nastalom kao rezultat povrede na radu ili bolesti uzrokovane radom imaju pravo na novčanu naknadu.
Vrste i procenti onesposobljenosti: Vrste i procenti fizičke onesposobljenosti koji omogućavaju pravo na naknadu utvrđuju se zakonom.
Osnov za naknadu: Osnov za novčanu naknadu je najniži iznos penzije utvrđen zakonom.
Iznos naknade: Novčana naknada se utvrđuje prema procentu fizičke onesposobljenosti i izražava se kao procent od osnova, sa skalom od 18% do 60% u zavisnosti od stepena onesposobljenosti.
Vrijeme za pravo na naknadu: Pravo na naknadu postoji od momenta nastupanja fizičke onesposobljenosti, ako se zahtjev podnese u roku od tri mjeseca od nastupanja onesposobljenosti. Ako je zahtjev podnesen kasnije, pravo na naknadu postoji od prvog dana u mjesecu nakon podnošenja zahtjeva, uz retrospektivu za tri mjeseca.
Izbor između dvije naknade: Ako osiguranik ima pravo na naknadu i po više zakona ili propisa za isti slučaj fizičke onesposobljenosti, može izabrati koji osnov za naknadu će koristiti.</t>
  </si>
  <si>
    <t>Naknada za fizičku onesposobljenost kao rezultat rada</t>
  </si>
  <si>
    <t xml:space="preserve">Zakon o penzijskom i invalidskom osiguranju Federacije BiH ("Službene novine FBiH", br. 13/2018 i 93/2019 - odluka Ustavnog suda 90/2021 i 90/2021 i 19/2022)):
Poglavlje iv. Novčana naknada za fizičku onesposobljenost
</t>
  </si>
  <si>
    <t>Stanovnici opštine Ilidža stariji od 80 godina</t>
  </si>
  <si>
    <t>Jednokratna novčana pomoć koja se godišnje dodjeljuje svim stanovnicima opštine Ilidža starijim od 80 godina. Iznos zavisi od raspoloživosti sredstava u budžetu.</t>
  </si>
  <si>
    <t>Osigurane osobe ostvaruju pravo na enteralnu prehranu pod uslovima : a) odrasli - postavljena PEG ili nazoenteralna sonda, upalna bolest crijeva (ulcerozni kolitis i Cronova bolest - aktivna bolest), fistule probavne cijevi, razvijena tumorska kaheksija, sindrom kratkog crijeva; b) djeca - postavljena PEG ili nazoenteralna sonda, kogentalne anomalije, karcionimi usta, glave i vrata, mehanička oštećenja i nemogućnost gutanja, mehanička ventilacija, cistična fibroza, sindrom kratkog crijeva, poremećaj gastrointestinalnog motiliteta, hronična bolest organa - bubrezi, jetra, srce, upalna bolest crijeva (ulcerozni kolitis, Cronova bolest), anorexia nervosa, fenilketonurija. Bezglutensko brašno se obezbjeđuje za osigurane osobe kojima je biopsijom tankog crijeva potvrđena celijaklija (10 kg mjesečno)</t>
  </si>
  <si>
    <t>Nadležna općina</t>
  </si>
  <si>
    <t>Nadležni dom zdravlja</t>
  </si>
  <si>
    <t>Poreska uprava nadležne općine</t>
  </si>
  <si>
    <t>Ministarstvo unutrašnjih poslova - Uprava za građanska stanja i pravne poslove</t>
  </si>
  <si>
    <t>Osnovni uvjeti za ostvarivanje prava su:
prebivalište na području općine Centar Sarajevo od najmanje jedne godine do dana podnošenja zahtjeva ili boravište po osnovu statusa raseljene osobe;
da je podnosilac zahtjeva penzioner ili lice starije od 60. godina bez primanja;
da se lijek za koji se traži jednokratna novčana pomoć ne finansira ili djelimično sufinansira putem Zavoda zdravstvenog osiguranja;
da ukupna primanja porodičnog domaćinstva podnosioca zahtjeva ne prelaze iznos dvije minimalne penzije ostvarene u FBiH prema posljednjim statističkim pokazateljima.</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</si>
  <si>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Preporuka nadležnog ljekara o potrebi korištenja određenog lijeka;
Predračun apoteke za lijek koji je potreban a koji se ne finansira ili sufinansira putem Zavoda zdravstvenog osiguranja KS.</t>
  </si>
  <si>
    <t>Pravo na medicinska sredstva/ortopedska pomagala za osiguranike u Kantonu Sarajevo: Lista medicinskih sredstava/ortopedskih pomagala na koje, na preporuku nadležnog ljekara, osiguranici Kantona Sarajevo, ostvaruju pravo u okviru obaveznog zdravstvenog osiguranja:
A - Ortopedska medicinska sredstva:
1) protetička sredstva (proteze);
2) ortotička sredstva (ortoze);
3) ortopedske cipele i ortopedski ulošci;
4) invalidska kolica;
5) pomoćna medicinskog sredstva za olakšavanje kretanja;
6) antidekubitalni dušek;
7) sanitarna medicinska sredstva;
B - Očna i tiflotehnička medicinska sredstva:
1) očna medicinska sredstva;
2) tiflotehnička medicinska sredstva;
C - Slušna medicinska sredstva i medicinska sredstva za omogućavanje glasnog govora:
1) slušna medicinska sredstva;
2) medicinska sredstva za omogućavanje glasnog govora;
D - Stomatološka medicinska sredstva
1) Parcijalna proteza
2) Totalna proteza
3) Pokretni ortodontski aparat
4) Fiksni ortodontski apparat
E - Ostala medicinska sredstva:
1) medicinska sredstva za disanje;
2) vještačka dojka i grudnjak;
3) medicinska sredstva za gastrointestinalni i urogenitalni sistem;
4) pelene i anatomski ulošci;
5) medicinska sredstva kod šećerne bolesti (trakice za šećer, senzori za kontinuirano mjerenje šećera u krvi, inzulinska pumpa);
6) zavojni materijali;
7) kompresivni materijali koji se koriste kod limfedema;
8) GPS narukvica za djecu;
9) Perika od prirodne kose za djecu;
F - Medicinska sredstva koja se koriste pri operativnim zahvatima u bolničkim zdravstvenim ustanovama:
1) endoproteze zglobova;
2) vaskularne endoproteze;
3) elektrostimulator srca sa pripadajućom elektrodom
4) stapleri i mrežice;
5) proteze dojke i ekspander;
6) intraokularne leće.</t>
  </si>
  <si>
    <t xml:space="preserve">ZA OVAJ POSTUPAK DODATI SVE POTREBNE KOPIJE DOKUMENATA </t>
  </si>
  <si>
    <t>Ostvarivanje prava od strane lica-korisnika stalne novčane pomoći i lica sa invaliditetom pravo na zdravstvenu zaštitu (pod uslovom da ga ne mogu ostvariti po drugom osnovu).</t>
  </si>
  <si>
    <t xml:space="preserve">Pravo na zdravstvenu zaštitu </t>
  </si>
  <si>
    <t>Zahtjev za smještaj;
Rješenje o smještaju;
Socijalna anamneza;
Izvod iz matične knjige rođenih;
Zdravstvena knjižica;
Medicinska dokumentacija (ukoliko dijete ima zdravstvene poteškoće) i
Rješenje o starateljstvu (ukoliko je dijete pod starateljstvom nadležne službe).</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</si>
  <si>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Uvjerenje da li su punoljetni članovi porodičnog domaćinstva poreski obveznici;
Uvjerenje o vlasništvu motornog vozila za sve članove porodičnog domaćinstva;
Dokaz o kvadraturi stambene jedinice ;
Medicinska dokumentacije za oboljele članove porodičnog domaćinstva;
Tekući račun podnosioca zahtjeva.</t>
  </si>
  <si>
    <t>Predškolska dob, Školska dob</t>
  </si>
  <si>
    <t>Potvrda  o upisu učenika u školu/centar
Potvrda škole da nema osiguran prijevoz
CIPS prijava  učenika i roditelja-pratioca
Medicinska dokumentacija 
Saobraćajna dozvola -automibil kojim se učenik prevozi
Ovjerena izjava o udaljenosti od mjesta stanovanja do škole 
Broj transakcijskog računa</t>
  </si>
  <si>
    <t xml:space="preserve">
Ovjerena kopija lične karte;
Uvjerenje o državljanstvu;
CIPS prijava prebivališta;
Uvjerenje o kretanju za podnosioca zahtjeva;
Kućna lista;
Kokazi o prihodima domaćinstva;
Za djecu do 18 godina - izvod iz matične knjige rođenih;
Ostale dokaze će služba socijalne zaštite pribaviti po službenoj dužnosti u skladu sa Obavezom iz čl. 134. stav (3) i 135. stav (2) Zakona o upravnom postupku, kao i druge dokaze po ocjeni voditelja postupka neophodne za utvrđivanje ispunjenosti uslova za ostvarivanje prava.
</t>
  </si>
  <si>
    <t xml:space="preserve">Izdavanje međunarodnog znaka pristupačnosti </t>
  </si>
  <si>
    <t xml:space="preserve">Prednost u primanju usluga u zdravstvenom i drugim institucijama </t>
  </si>
  <si>
    <t>Slijepa osoba i njen pratilac imaju pravo na povlaštenu vožnju u željezničkom saobraćaju u Federaciji
BiH u iznosu 50% od redovne cijene karte za I i II razred svih vrsta vozova. 
Broj vožnji nije ograničen.
Pratilac ima pravo na povlaštenu vožnju samo kad je sa slijepom osobom.</t>
  </si>
  <si>
    <t>Željeznice FBiH</t>
  </si>
  <si>
    <t>Musala 2, Sarajevo</t>
  </si>
  <si>
    <t>http://www.sluzbenilist.ba/page/akt/lbKAkKGaEwg=
– Odlukom nadzornog odbora Željeznica BiH</t>
  </si>
  <si>
    <t>Ovo pravo se može ostvariti na osnovu članske karte koju izdaje Udruženje slijepih Kantona Sarajevo.</t>
  </si>
  <si>
    <t>kabinet@zfbh.ba</t>
  </si>
  <si>
    <t>033 251-120</t>
  </si>
  <si>
    <t>https://www.zfbh.ba/kontakt/</t>
  </si>
  <si>
    <t>Predškolska dob; Školska dob; Radni vijek;</t>
  </si>
  <si>
    <t>Predškolska dob; Školska dob; Radni vijek</t>
  </si>
  <si>
    <t>Predškolska dob; školska dob; radni vijek; treća životna dob</t>
  </si>
  <si>
    <t>Predškolska dob; školska dob; radni vijek</t>
  </si>
  <si>
    <t>Predškolska dob; Školska dob; Radni vijek; Treća životna dob</t>
  </si>
  <si>
    <t>Pravo na penziju korsnika ili roditelja/staratelja</t>
  </si>
  <si>
    <r>
      <t xml:space="preserve">Roditelj/staratelj osobe sa poteškoćama u razvoju (nesposobnost za samostalan život, nesposobnost za privređivanje) ima pravo na penziju.                                 </t>
    </r>
    <r>
      <rPr>
        <i/>
        <sz val="8"/>
        <color rgb="FF374151"/>
        <rFont val="Segoe UI"/>
        <family val="2"/>
      </rPr>
      <t xml:space="preserve"> Status roditelja njegovatelja priznaje se jednom od roditelja lica s invaliditetom sa 100% oštećenjem organizma i pravom na dodatak za njegu i pomoć od drugog lica.</t>
    </r>
  </si>
  <si>
    <t>Usluge savjetodavno-terapeutskog rada (individualno, psihološko, grupno, porodično savjetovanje i tretman)</t>
  </si>
  <si>
    <t>Sva lica koja se nalaze u stanju socijalne potrebe - koji imaju poteškoće i probleme na planu ličnog funkcioniranja ili u odnosu sa drugima, a koje su motivirane da postignu promjene kroz savjetodavno-terapeutski tretman</t>
  </si>
  <si>
    <t>KJU “Porodično savjetovalište”</t>
  </si>
  <si>
    <t>Bihaćka bb, Sarajevo</t>
  </si>
  <si>
    <t>https://porodicno.ba/</t>
  </si>
  <si>
    <t>033 209-112</t>
  </si>
  <si>
    <t xml:space="preserve">Proces realizacije savjetodavno-terapeutskog tretmana se odvija kroz sljedeće usluge:  prijem poziva potencijalnih korisnika savjetodavno-terapeutskih usluga, realizacija preliminarne trijaže, zakazivanje termina seanse, realizacija inicijalnog intervjua, procjena indikacija za tretman, priprema za seansu (postavljanje radnih hipoteza, planiranje intervencija, definiranje cilja tretmana), dijagnosticiranje problema korisnika, psihodijagnostika, relizacija savjetodavno-terapeutskog procesa, pružanje usluga krizne intervencije, pružanje usluga ekointervencije, evaluacija savjetodavno-terapeutskog rada, praćenje readaptacije korisnika.
</t>
  </si>
  <si>
    <t>Zakon o socijalnoj zaštiti, zaštiti civilnih žrtava rata i zaštiti porodice sa djecom („Službene novine Kantona Sarajevo“ br. 38/14 – Prečišćeni tekst, 38/16, 44/17 i 28/18); član 96.
Pravilnik o radu KJU “Porodično savjetovalište”
Pravila KJU “Porodično savjetovalište”</t>
  </si>
  <si>
    <t>Usluge se pružaju svim korisnicima koji imaju poteškoće i probleme na planu ličnog funkcioniranja ili u odnosu sa drugima, a koje su motivirane da postignu promjene kroz savjetodavno-terapeutski tretman.
Usluge savjetodavno-terapeutskog rada su besplatne i zasnivaju se na principu dobrovoljnosti</t>
  </si>
  <si>
    <t>Usluge psihosocijalne podrške grupama korisnika sa istim ili sličnim problemima ( grupno savjetovanje i tretman)</t>
  </si>
  <si>
    <t>Sva lica koja se nalaze u stanju socijalne potrebe - -Usluge se pružaju korisnicima koji imaju  iste ili slične poteškoće i probleme na planu ličnog funkcioniranja ili u području odnosa sa drugima, a koji su motivirani da postignu promjene kroz grupno savjetovanje i tretman.</t>
  </si>
  <si>
    <t>Proces realizacije usluga psihosocijalne podrške grupama sa istim ili sličnim problemima se odvija kroz sljedeće aktivnosti:  procjena potreba ciljnih grupa, oglašavanje aktivnosti, formiranje grupe, priprema tematskih cjelina za rad sa grupom, priprema interaktivnih vježbi, praćenje grupne dinamike, rad sa grupom, praćenje grupnih procesa, evaluacija grupnog rada.</t>
  </si>
  <si>
    <r>
      <t xml:space="preserve">Licima sa invaliditetom i grupe sa 100% tjelesnog oštećenja i licima sa invaliditetom II grupe sa 90% tjelesnog oštećenja i civilne žrtve rata omogućiti ostvarivanje prava na ličnu invalidninu, dodatak za njegu i pomoć od strane drugog lica i ortopedski dodatak.                                                                      </t>
    </r>
    <r>
      <rPr>
        <i/>
        <sz val="10"/>
        <color rgb="FF374151"/>
        <rFont val="Calibri"/>
        <family val="2"/>
        <scheme val="minor"/>
      </rPr>
      <t>Zakon definira civilne žrtve rata:
-	Osobe sa najmanje 20% tjelesnih oštećenja uslijed ratnih događaja, pod uslovom da su u vrijeme incidenta bili civili.
	Osobe koje su pretrpjele seksualno zlostavljanje ili silovanje tokom rata, uključujući djecu rođenu od ratnog silovanja, bez obzira na status majke.
	Članovi porodica civila poginulih ili nestalih usljed ratnih dešavanja.
	Dodatno, bosanskim državljanima koji borave u Federaciji i koji su pogođeni ratnim događajima priznaje se ako nemaju koristi od drugih propisa.</t>
    </r>
  </si>
  <si>
    <t xml:space="preserve">Pravo na dodjelu jednokratne novčane pomoći putem sufinansiranja troškova nabavke ortopedskih pomagala i prilagođavanja stambenih objekata i motornih vozila individualnim licima </t>
  </si>
  <si>
    <t>Pravilnik o kriterijima i raspodjeli novčanih sredstava za dodjelu jednokratne novčane pomoći putem sufinansiranja troškova nabavke ortopedskih pomagala i prilagođavanja stambenih objekata i motornih vozila invalidnim licima („Službene novine Kantona Sarajevo“ broj 15/21) .</t>
  </si>
  <si>
    <t>Zdravstvena zaštita; Prevoz i kretanje</t>
  </si>
  <si>
    <t>Ova pomoć se odnosi na sufinansiranje troškova za nabavku ortopedskih pomagala, kao i na prilagođavanje stambenih objekata i motornih vozila za potrebe osoba sa invaliditetom i civilnih žrtava rata.
Da podnosilac zahtjeva ima najmanje godinu dana prebivališta na području općine Centar Sarajevo prije podnošenja zahtjeva;da je podnosilac zahtjeva invalidna osoba, sa utvrđenim pravom na ortopedsko pomagalo i pravom na tuđu njegu i pomoć, pod uvjetom da invaliditet nije priznat na osnovu statusa ratnog vojnog invalida;da je podnosilac zahtjeva vlasnik ili suvlasnik legalno izgrađene stambene jedinice, ako se radi o prilagođavanju stambenog objekta invalidnom licu;da podnosilac zahtjeva posjeduje građevinsku dozvolu izdatu od strane nadležne službe za pristupnu rampu, podiznu platformu odnosno invalidski lift;da podnosilac zahtjeva živi u stambenom objektu za koji traži prilagođavanje;da ukupna primanja domaćinstva podnosioca zahtjeva ne prelaze iznos dvije i po prosječne plaće ostvarene u FBiH prema posljednjim statističkim pokazateljima.</t>
  </si>
  <si>
    <t>Podnošenje zahtjeva sa potrebnom dokumentacijom koju je dužna stranka dostaviti u toku postupka , pribavljanje dokumentacije po službenoj dužnosti koju je organ dužan službeno pribaviti te  donošenje ugovor ao dodjeli sredstava ukoliko su ispunjeni uvjeti, ili obavijesti ukoliko nisu ispunjeni uvjeti.</t>
  </si>
  <si>
    <t>Prijava prebivališta za punoljetne članove domaćinstva podnosioca zahtjeva 
Kućna lista;
Potvrda o visini prihoda za sve punoljetne članove domaćinstva
Dokaz o vlasništvu nad individualnom stambenom jedinicom na kojoj se vrši prilagođavanje (ZK izvadak, posjedovni list, građevinska dozvola)
- potrebno za a)
Specifikaciju neophodnog materijala i predmjer i predračun radova za prilagođavanje stambenog objekta 
- potrebno za a)
Preporuku nadležne zdravstvene ustanove i Potvrdu o participaciji za nabavku neophodnog ortopedskog pomagala
Predračun za nabavku ortopedskog pomagala
Preporuka ovlaštenog ljekara da je radi prirode bolesti, invaliditeta podnosioca zahtjeva potrebno ugraditi invalidske komande u motorno vozilo
Predračun za uslugu uspostavljanja invalidskih komandi u motorno vozilo izdat od strane ovlaštenog auto servisa ili radnje
Potvrda o otvorenom tekućem računu za podnosioca zahtjeva 
- potrebno
Dokumentacija koju će organ pribavljati službenim putem:
Uvjerenja o kretanju za podnosioca zahtjeva, uvjerenja nadležne Službe socijalne zaštite općine Centar, uvjerenja Porezne uprave FBiH, uvjerenja Službe za zapošljavanje - Centar, kopije potrebnih saglasnosti nadležne službe za urbanizam, dokaz o vlasništvu motornog vozila na kojem se ugrađuju komande</t>
  </si>
  <si>
    <t>https://www.centar.ba/documents/preview/53971/javni-poziv-za-dodjelu-jednokratne-novcane-pomoci-putem-sufinansiranja-troskova-nabavke-ortopedskih-pomagala-i-prilagodjavanje-stambenih-objekata-i-motornih-vozila-invalidnim-licima</t>
  </si>
  <si>
    <r>
      <t xml:space="preserve">Ostvarivanje prava RVI-a na medicinsko - sanitetski materijal.                                                                             </t>
    </r>
    <r>
      <rPr>
        <i/>
        <sz val="10"/>
        <color rgb="FF374151"/>
        <rFont val="Calibri"/>
        <family val="2"/>
        <scheme val="minor"/>
      </rPr>
      <t>Ova mapa na naglašava specifičan skup prava koja su eksluzivno vezana za ratni invaliditet i koja su priznata isključivo osobama sa statusam RVI ili članovima njihovih porodica.</t>
    </r>
  </si>
  <si>
    <t>Lat</t>
  </si>
  <si>
    <t>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</si>
</sst>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charset val="238"/>
      <scheme val="minor"/>
    </font>
    <font>
      <b/>
      <sz val="10"/>
      <color theme="1"/>
      <name val="Segoe UI"/>
      <family val="2"/>
    </font>
    <font>
      <sz val="8"/>
      <color rgb="FF374151"/>
      <name val="Segoe UI"/>
      <family val="2"/>
    </font>
    <font>
      <b/>
      <sz val="11"/>
      <color theme="1"/>
      <name val="Calibri"/>
      <family val="2"/>
      <scheme val="minor"/>
    </font>
    <font>
      <sz val="8"/>
      <name val="Calibri"/>
      <family val="2"/>
      <charset val="238"/>
      <scheme val="minor"/>
    </font>
    <font>
      <u/>
      <sz val="11"/>
      <color theme="10"/>
      <name val="Calibri"/>
      <family val="2"/>
      <charset val="238"/>
      <scheme val="minor"/>
    </font>
    <font>
      <sz val="11"/>
      <color theme="1"/>
      <name val="Segoe UI"/>
      <family val="2"/>
    </font>
    <font>
      <sz val="8"/>
      <color theme="1"/>
      <name val="Segoe UI"/>
      <family val="2"/>
    </font>
    <font>
      <b/>
      <sz val="14"/>
      <color theme="8" tint="-0.249977111117893"/>
      <name val="Segoe UI"/>
      <family val="2"/>
    </font>
    <font>
      <b/>
      <sz val="10"/>
      <color theme="1"/>
      <name val="Times New Roman"/>
      <family val="1"/>
    </font>
    <font>
      <sz val="11"/>
      <color theme="1"/>
      <name val="Times New Roman"/>
      <family val="1"/>
    </font>
    <font>
      <sz val="8"/>
      <color rgb="FF374151"/>
      <name val="Times New Roman"/>
      <family val="1"/>
    </font>
    <font>
      <sz val="11"/>
      <color rgb="FF000000"/>
      <name val="Segoe UI"/>
      <family val="2"/>
    </font>
    <font>
      <sz val="8"/>
      <name val="Segoe UI"/>
      <family val="2"/>
    </font>
    <font>
      <u/>
      <sz val="8"/>
      <name val="Segoe UI"/>
      <family val="2"/>
    </font>
    <font>
      <b/>
      <sz val="12"/>
      <color theme="1"/>
      <name val="Times New Roman"/>
      <family val="1"/>
    </font>
    <font>
      <b/>
      <sz val="8"/>
      <color rgb="FF374151"/>
      <name val="Segoe UI"/>
      <family val="2"/>
    </font>
    <font>
      <sz val="8"/>
      <color rgb="FF374151"/>
      <name val="Segoe UI"/>
      <family val="2"/>
      <charset val="1"/>
    </font>
    <font>
      <sz val="8"/>
      <name val="Segoe UI"/>
      <family val="2"/>
      <charset val="1"/>
    </font>
    <font>
      <b/>
      <sz val="8"/>
      <name val="Times New Roman"/>
      <family val="1"/>
    </font>
    <font>
      <sz val="8"/>
      <name val="Times New Roman"/>
      <family val="1"/>
    </font>
    <font>
      <u/>
      <sz val="8"/>
      <color theme="10"/>
      <name val="Times New Roman"/>
      <family val="1"/>
    </font>
    <font>
      <sz val="8"/>
      <color theme="1"/>
      <name val="Times New Roman"/>
      <family val="1"/>
    </font>
    <font>
      <u/>
      <sz val="8"/>
      <color theme="10"/>
      <name val="Calibri"/>
      <family val="2"/>
      <charset val="238"/>
      <scheme val="minor"/>
    </font>
    <font>
      <sz val="8"/>
      <color theme="1"/>
      <name val="Calibri"/>
      <family val="2"/>
      <charset val="238"/>
      <scheme val="minor"/>
    </font>
    <font>
      <u/>
      <sz val="8"/>
      <color rgb="FFFF0000"/>
      <name val="Calibri (Body)"/>
    </font>
    <font>
      <sz val="10"/>
      <name val="Calibri"/>
      <family val="2"/>
      <scheme val="minor"/>
    </font>
    <font>
      <sz val="10"/>
      <color rgb="FF374151"/>
      <name val="Calibri"/>
      <family val="2"/>
      <scheme val="minor"/>
    </font>
    <font>
      <u/>
      <sz val="10"/>
      <color theme="10"/>
      <name val="Calibri"/>
      <family val="2"/>
      <scheme val="minor"/>
    </font>
    <font>
      <sz val="10"/>
      <color theme="1"/>
      <name val="Calibri"/>
      <family val="2"/>
      <scheme val="minor"/>
    </font>
    <font>
      <u/>
      <sz val="10"/>
      <name val="Calibri"/>
      <family val="2"/>
      <scheme val="minor"/>
    </font>
    <font>
      <b/>
      <sz val="12"/>
      <color theme="0"/>
      <name val="Calibri"/>
      <family val="2"/>
      <scheme val="minor"/>
    </font>
    <font>
      <sz val="10"/>
      <color rgb="FF374151"/>
      <name val="Calibri"/>
      <family val="2"/>
      <charset val="238"/>
      <scheme val="minor"/>
    </font>
    <font>
      <sz val="14"/>
      <color theme="1"/>
      <name val="Times New Roman"/>
      <family val="1"/>
    </font>
    <font>
      <u/>
      <sz val="14"/>
      <color theme="10"/>
      <name val="Times New Roman"/>
      <family val="1"/>
    </font>
    <font>
      <sz val="10"/>
      <color theme="1"/>
      <name val="Times New Roman"/>
      <family val="1"/>
    </font>
    <font>
      <sz val="13.5"/>
      <color theme="1"/>
      <name val="Times New Roman"/>
      <family val="1"/>
    </font>
    <font>
      <b/>
      <sz val="16"/>
      <color theme="8" tint="-0.249977111117893"/>
      <name val="Times New Roman"/>
      <family val="1"/>
    </font>
    <font>
      <sz val="13.5"/>
      <color rgb="FF000000"/>
      <name val="Times New Roman"/>
      <family val="1"/>
    </font>
    <font>
      <b/>
      <sz val="13.5"/>
      <color rgb="FF000000"/>
      <name val="Times New Roman"/>
      <family val="1"/>
    </font>
    <font>
      <sz val="10"/>
      <color theme="1"/>
      <name val="Calibri"/>
      <family val="2"/>
      <charset val="238"/>
      <scheme val="minor"/>
    </font>
    <font>
      <b/>
      <sz val="10"/>
      <color rgb="FF374151"/>
      <name val="Calibri"/>
      <family val="2"/>
      <scheme val="minor"/>
    </font>
    <font>
      <i/>
      <sz val="8"/>
      <color rgb="FF374151"/>
      <name val="Segoe UI"/>
      <family val="2"/>
    </font>
    <font>
      <i/>
      <sz val="10"/>
      <color rgb="FF374151"/>
      <name val="Calibri"/>
      <family val="2"/>
      <scheme val="minor"/>
    </font>
    <font>
      <u/>
      <sz val="10"/>
      <color theme="10"/>
      <name val="Calibri"/>
      <family val="2"/>
      <charset val="238"/>
      <scheme val="minor"/>
    </font>
    <font>
      <sz val="10"/>
      <color rgb="FF374151"/>
      <name val="Segoe UI"/>
      <family val="2"/>
    </font>
    <font>
      <sz val="10"/>
      <color rgb="FF374151"/>
      <name val="Segoe UI"/>
      <family val="2"/>
    </font>
  </fonts>
  <fills count="8">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0"/>
        <bgColor theme="4" tint="0.79998168889431442"/>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ck">
        <color theme="8" tint="0.39994506668294322"/>
      </left>
      <right/>
      <top style="thick">
        <color theme="8" tint="0.39994506668294322"/>
      </top>
      <bottom style="thick">
        <color theme="8" tint="0.39994506668294322"/>
      </bottom>
      <diagonal/>
    </border>
    <border>
      <left/>
      <right style="thick">
        <color theme="8" tint="0.39994506668294322"/>
      </right>
      <top style="thick">
        <color theme="8" tint="0.39994506668294322"/>
      </top>
      <bottom style="thick">
        <color theme="8" tint="0.39994506668294322"/>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style="thin">
        <color theme="8" tint="0.39994506668294322"/>
      </right>
      <top/>
      <bottom/>
      <diagonal/>
    </border>
    <border>
      <left style="thin">
        <color theme="8" tint="0.39994506668294322"/>
      </left>
      <right style="thin">
        <color theme="8" tint="0.39994506668294322"/>
      </right>
      <top/>
      <bottom/>
      <diagonal/>
    </border>
    <border>
      <left style="thin">
        <color theme="8" tint="0.39994506668294322"/>
      </left>
      <right/>
      <top/>
      <bottom/>
      <diagonal/>
    </border>
    <border>
      <left/>
      <right style="thin">
        <color indexed="64"/>
      </right>
      <top style="thick">
        <color theme="8" tint="0.39994506668294322"/>
      </top>
      <bottom style="thick">
        <color theme="8" tint="0.39994506668294322"/>
      </bottom>
      <diagonal/>
    </border>
    <border>
      <left/>
      <right/>
      <top style="thin">
        <color theme="4" tint="0.39997558519241921"/>
      </top>
      <bottom style="thin">
        <color theme="4" tint="0.39997558519241921"/>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thin">
        <color indexed="64"/>
      </left>
      <right style="thin">
        <color indexed="64"/>
      </right>
      <top/>
      <bottom/>
      <diagonal/>
    </border>
    <border>
      <left/>
      <right style="thin">
        <color indexed="64"/>
      </right>
      <top style="thin">
        <color theme="4" tint="0.39997558519241921"/>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173">
    <xf numFmtId="0" fontId="0" fillId="0" borderId="0" xfId="0"/>
    <xf numFmtId="0" fontId="3" fillId="0" borderId="0" xfId="0" applyFont="1"/>
    <xf numFmtId="0" fontId="6" fillId="0" borderId="0" xfId="0" applyFont="1"/>
    <xf numFmtId="0" fontId="6" fillId="0" borderId="0" xfId="0" applyFont="1" applyAlignment="1">
      <alignment wrapText="1"/>
    </xf>
    <xf numFmtId="0" fontId="7" fillId="0" borderId="0" xfId="0" applyFont="1"/>
    <xf numFmtId="0" fontId="6" fillId="0" borderId="0" xfId="0" applyFont="1" applyAlignment="1">
      <alignment horizontal="center"/>
    </xf>
    <xf numFmtId="0" fontId="8" fillId="0" borderId="0" xfId="0" applyFont="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12" fillId="0" borderId="0" xfId="0" applyFont="1"/>
    <xf numFmtId="0" fontId="10" fillId="0" borderId="0" xfId="0" applyFont="1"/>
    <xf numFmtId="0" fontId="10" fillId="0" borderId="0" xfId="0" applyFont="1" applyAlignment="1">
      <alignment horizontal="center" vertical="center"/>
    </xf>
    <xf numFmtId="0" fontId="15" fillId="3" borderId="6" xfId="0" applyFont="1" applyFill="1" applyBorder="1" applyAlignment="1">
      <alignment horizontal="center" vertical="center"/>
    </xf>
    <xf numFmtId="0" fontId="0" fillId="4" borderId="0" xfId="0" applyFill="1"/>
    <xf numFmtId="0" fontId="10" fillId="4" borderId="0" xfId="0" applyFont="1" applyFill="1" applyAlignment="1">
      <alignment horizontal="justify" vertical="center"/>
    </xf>
    <xf numFmtId="0" fontId="10" fillId="0" borderId="0" xfId="0" applyFont="1" applyAlignment="1">
      <alignment vertical="center"/>
    </xf>
    <xf numFmtId="0" fontId="10" fillId="0" borderId="7" xfId="0" applyFont="1" applyBorder="1" applyAlignment="1">
      <alignment vertical="center"/>
    </xf>
    <xf numFmtId="0" fontId="11" fillId="0" borderId="10" xfId="0" applyFont="1" applyBorder="1" applyAlignment="1">
      <alignment horizontal="left" vertical="center" wrapText="1"/>
    </xf>
    <xf numFmtId="0" fontId="11" fillId="5" borderId="10"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0" xfId="0" quotePrefix="1" applyFont="1" applyBorder="1" applyAlignment="1">
      <alignment horizontal="left" vertical="center" wrapText="1"/>
    </xf>
    <xf numFmtId="0" fontId="2" fillId="5" borderId="10" xfId="0" applyFont="1" applyFill="1" applyBorder="1" applyAlignment="1">
      <alignment horizontal="left" vertical="center" wrapText="1"/>
    </xf>
    <xf numFmtId="0" fontId="13" fillId="0" borderId="10" xfId="0" applyFont="1" applyBorder="1" applyAlignment="1">
      <alignment horizontal="left" vertical="center" wrapText="1"/>
    </xf>
    <xf numFmtId="0" fontId="14" fillId="0" borderId="10" xfId="1" applyFont="1" applyBorder="1" applyAlignment="1">
      <alignment horizontal="left" vertical="center" wrapText="1"/>
    </xf>
    <xf numFmtId="0" fontId="17" fillId="0" borderId="10" xfId="0" applyFont="1" applyBorder="1" applyAlignment="1">
      <alignment wrapText="1"/>
    </xf>
    <xf numFmtId="0" fontId="18" fillId="0" borderId="10" xfId="0" applyFont="1" applyBorder="1" applyAlignment="1">
      <alignment wrapText="1"/>
    </xf>
    <xf numFmtId="0" fontId="11" fillId="6" borderId="10" xfId="0" applyFont="1" applyFill="1" applyBorder="1" applyAlignment="1">
      <alignment horizontal="left" vertical="center" wrapText="1"/>
    </xf>
    <xf numFmtId="0" fontId="2" fillId="0" borderId="10" xfId="0" applyFont="1" applyBorder="1" applyAlignment="1">
      <alignment vertical="center" wrapText="1"/>
    </xf>
    <xf numFmtId="0" fontId="2" fillId="7" borderId="10" xfId="0" applyFont="1" applyFill="1" applyBorder="1" applyAlignment="1">
      <alignment horizontal="left" vertical="center" wrapText="1"/>
    </xf>
    <xf numFmtId="0" fontId="2" fillId="5" borderId="10" xfId="0" applyFont="1" applyFill="1" applyBorder="1" applyAlignment="1">
      <alignment vertical="center" wrapText="1"/>
    </xf>
    <xf numFmtId="49" fontId="2" fillId="0" borderId="10" xfId="0" applyNumberFormat="1" applyFont="1" applyBorder="1" applyAlignment="1">
      <alignment horizontal="left" vertical="center" wrapText="1"/>
    </xf>
    <xf numFmtId="0" fontId="19" fillId="2" borderId="10" xfId="0" applyFont="1" applyFill="1" applyBorder="1" applyAlignment="1">
      <alignment vertical="center" wrapText="1"/>
    </xf>
    <xf numFmtId="0" fontId="19" fillId="2" borderId="10" xfId="0" applyFont="1" applyFill="1" applyBorder="1" applyAlignment="1">
      <alignment horizontal="left" vertical="center" wrapText="1"/>
    </xf>
    <xf numFmtId="0" fontId="19" fillId="2" borderId="10" xfId="0" applyFont="1" applyFill="1" applyBorder="1" applyAlignment="1">
      <alignment vertical="center"/>
    </xf>
    <xf numFmtId="0" fontId="20" fillId="0" borderId="10" xfId="0" applyFont="1" applyBorder="1"/>
    <xf numFmtId="0" fontId="20" fillId="0" borderId="9" xfId="0" applyFont="1" applyBorder="1"/>
    <xf numFmtId="0" fontId="20" fillId="0" borderId="1" xfId="0" applyFont="1" applyBorder="1"/>
    <xf numFmtId="0" fontId="21" fillId="5" borderId="10" xfId="1" applyFont="1" applyFill="1" applyBorder="1" applyAlignment="1">
      <alignment horizontal="left" vertical="center" wrapText="1"/>
    </xf>
    <xf numFmtId="0" fontId="22" fillId="0" borderId="10" xfId="0" applyFont="1" applyBorder="1"/>
    <xf numFmtId="0" fontId="22" fillId="0" borderId="9" xfId="0" applyFont="1" applyBorder="1"/>
    <xf numFmtId="0" fontId="22" fillId="0" borderId="1" xfId="0" applyFont="1" applyBorder="1"/>
    <xf numFmtId="0" fontId="23" fillId="5" borderId="10" xfId="1" applyFont="1" applyFill="1" applyBorder="1" applyAlignment="1">
      <alignment horizontal="left" vertical="center" wrapText="1"/>
    </xf>
    <xf numFmtId="0" fontId="23" fillId="0" borderId="10" xfId="1" applyFont="1" applyBorder="1" applyAlignment="1">
      <alignment horizontal="left" vertical="center" wrapText="1"/>
    </xf>
    <xf numFmtId="0" fontId="21" fillId="5" borderId="10" xfId="1" applyFont="1" applyFill="1" applyBorder="1"/>
    <xf numFmtId="0" fontId="23" fillId="0" borderId="10" xfId="1" applyFont="1" applyBorder="1" applyAlignment="1">
      <alignment wrapText="1"/>
    </xf>
    <xf numFmtId="0" fontId="24" fillId="0" borderId="9" xfId="0" applyFont="1" applyBorder="1"/>
    <xf numFmtId="0" fontId="24" fillId="0" borderId="1" xfId="0" applyFont="1" applyBorder="1"/>
    <xf numFmtId="0" fontId="21" fillId="0" borderId="10" xfId="1" applyFont="1" applyBorder="1" applyAlignment="1">
      <alignment horizontal="left" vertical="center" wrapText="1"/>
    </xf>
    <xf numFmtId="0" fontId="21" fillId="6" borderId="10" xfId="1" applyFont="1" applyFill="1" applyBorder="1" applyAlignment="1">
      <alignment horizontal="left" vertical="center" wrapText="1"/>
    </xf>
    <xf numFmtId="0" fontId="22" fillId="6" borderId="9" xfId="0" applyFont="1" applyFill="1" applyBorder="1"/>
    <xf numFmtId="0" fontId="22" fillId="6" borderId="1" xfId="0" applyFont="1" applyFill="1" applyBorder="1"/>
    <xf numFmtId="0" fontId="24" fillId="0" borderId="10" xfId="0" applyFont="1" applyBorder="1" applyAlignment="1">
      <alignment wrapText="1"/>
    </xf>
    <xf numFmtId="0" fontId="4" fillId="0" borderId="9" xfId="0" applyFont="1" applyBorder="1"/>
    <xf numFmtId="0" fontId="4" fillId="0" borderId="1" xfId="0" applyFont="1" applyBorder="1"/>
    <xf numFmtId="0" fontId="24" fillId="0" borderId="9" xfId="0" applyFont="1" applyBorder="1" applyAlignment="1">
      <alignment vertical="center"/>
    </xf>
    <xf numFmtId="0" fontId="24" fillId="0" borderId="1" xfId="0" applyFont="1" applyBorder="1" applyAlignment="1">
      <alignment vertical="center"/>
    </xf>
    <xf numFmtId="0" fontId="21" fillId="0" borderId="10" xfId="1" applyFont="1" applyBorder="1"/>
    <xf numFmtId="0" fontId="21" fillId="5" borderId="10" xfId="1" applyFont="1" applyFill="1" applyBorder="1" applyAlignment="1">
      <alignment horizontal="left"/>
    </xf>
    <xf numFmtId="0" fontId="24" fillId="0" borderId="10" xfId="0" applyFont="1" applyBorder="1"/>
    <xf numFmtId="0" fontId="23" fillId="0" borderId="10" xfId="1" applyFont="1" applyBorder="1"/>
    <xf numFmtId="0" fontId="24" fillId="0" borderId="0" xfId="0" applyFont="1"/>
    <xf numFmtId="0" fontId="25" fillId="0" borderId="10" xfId="1" applyFont="1" applyBorder="1" applyAlignment="1">
      <alignment horizontal="left" vertical="center" wrapText="1"/>
    </xf>
    <xf numFmtId="0" fontId="17" fillId="0" borderId="10" xfId="0" applyFont="1" applyBorder="1" applyAlignment="1">
      <alignment horizontal="left" wrapText="1"/>
    </xf>
    <xf numFmtId="0" fontId="24" fillId="0" borderId="0" xfId="0" applyFont="1" applyAlignment="1">
      <alignment horizontal="left"/>
    </xf>
    <xf numFmtId="1" fontId="2" fillId="0" borderId="10" xfId="0" quotePrefix="1" applyNumberFormat="1" applyFont="1" applyBorder="1" applyAlignment="1">
      <alignment horizontal="left" vertical="center" wrapText="1"/>
    </xf>
    <xf numFmtId="0" fontId="5" fillId="5" borderId="10" xfId="1" applyFill="1" applyBorder="1" applyAlignment="1">
      <alignment horizontal="left" vertical="center" wrapText="1"/>
    </xf>
    <xf numFmtId="0" fontId="11" fillId="0" borderId="10" xfId="0" applyFont="1" applyBorder="1" applyAlignment="1">
      <alignment vertical="center" wrapText="1"/>
    </xf>
    <xf numFmtId="0" fontId="11" fillId="5" borderId="10" xfId="0" applyFont="1" applyFill="1" applyBorder="1" applyAlignment="1">
      <alignment vertical="center" wrapText="1"/>
    </xf>
    <xf numFmtId="0" fontId="0" fillId="0" borderId="0" xfId="0" pivotButton="1"/>
    <xf numFmtId="0" fontId="19" fillId="0" borderId="10" xfId="0" applyFont="1" applyBorder="1" applyAlignment="1">
      <alignment horizontal="left" vertical="center" wrapText="1"/>
    </xf>
    <xf numFmtId="0" fontId="19" fillId="0" borderId="10" xfId="0" applyFont="1" applyBorder="1" applyAlignment="1">
      <alignment vertical="center" wrapText="1"/>
    </xf>
    <xf numFmtId="0" fontId="19" fillId="0" borderId="10" xfId="0" applyFont="1" applyBorder="1" applyAlignment="1">
      <alignment vertical="center"/>
    </xf>
    <xf numFmtId="0" fontId="23" fillId="0" borderId="10" xfId="1" applyFont="1" applyFill="1" applyBorder="1" applyAlignment="1">
      <alignment wrapText="1"/>
    </xf>
    <xf numFmtId="0" fontId="23" fillId="0" borderId="10" xfId="1" applyFont="1" applyFill="1" applyBorder="1" applyAlignment="1">
      <alignment horizontal="left" vertical="center" wrapText="1"/>
    </xf>
    <xf numFmtId="0" fontId="5" fillId="0" borderId="10" xfId="1" applyFill="1" applyBorder="1" applyAlignment="1">
      <alignment horizontal="left" vertical="center" wrapText="1"/>
    </xf>
    <xf numFmtId="0" fontId="21" fillId="0" borderId="10" xfId="1" applyFont="1" applyFill="1" applyBorder="1" applyAlignment="1">
      <alignment horizontal="left" vertical="center" wrapText="1"/>
    </xf>
    <xf numFmtId="0" fontId="14" fillId="0" borderId="10" xfId="1" applyFont="1" applyFill="1" applyBorder="1" applyAlignment="1">
      <alignment horizontal="left" vertical="center" wrapText="1"/>
    </xf>
    <xf numFmtId="0" fontId="23" fillId="0" borderId="10" xfId="1" applyFont="1" applyFill="1" applyBorder="1"/>
    <xf numFmtId="0" fontId="25" fillId="0" borderId="10" xfId="1" applyFont="1" applyFill="1" applyBorder="1" applyAlignment="1">
      <alignment horizontal="left" vertical="center" wrapText="1"/>
    </xf>
    <xf numFmtId="0" fontId="21" fillId="0" borderId="10" xfId="1" applyFont="1" applyFill="1" applyBorder="1" applyAlignment="1">
      <alignment horizontal="left"/>
    </xf>
    <xf numFmtId="0" fontId="21" fillId="0" borderId="10" xfId="1" applyFont="1" applyFill="1" applyBorder="1"/>
    <xf numFmtId="0" fontId="5" fillId="0" borderId="10" xfId="1" applyFill="1" applyBorder="1" applyAlignment="1">
      <alignment wrapText="1"/>
    </xf>
    <xf numFmtId="0" fontId="11" fillId="0" borderId="0" xfId="0" applyFont="1" applyAlignment="1">
      <alignment horizontal="left" vertical="center" wrapText="1"/>
    </xf>
    <xf numFmtId="0" fontId="11" fillId="0" borderId="0" xfId="0" applyFont="1" applyAlignment="1">
      <alignment vertical="center" wrapText="1"/>
    </xf>
    <xf numFmtId="0" fontId="5" fillId="0" borderId="0" xfId="1" applyFill="1" applyBorder="1" applyAlignment="1">
      <alignment horizontal="left" vertical="center" wrapText="1"/>
    </xf>
    <xf numFmtId="0" fontId="31" fillId="0" borderId="0" xfId="0" applyFont="1" applyAlignment="1">
      <alignment vertical="center" wrapText="1"/>
    </xf>
    <xf numFmtId="0" fontId="31" fillId="0" borderId="0" xfId="0" applyFont="1" applyAlignment="1">
      <alignment horizontal="left" vertical="center" wrapText="1"/>
    </xf>
    <xf numFmtId="0" fontId="31" fillId="0" borderId="0" xfId="0" applyFont="1" applyAlignment="1">
      <alignment vertical="center"/>
    </xf>
    <xf numFmtId="0" fontId="31" fillId="0" borderId="0" xfId="0" applyFont="1" applyAlignment="1">
      <alignment horizontal="center" vertical="center" wrapText="1"/>
    </xf>
    <xf numFmtId="0" fontId="26" fillId="0" borderId="0" xfId="0" applyFont="1"/>
    <xf numFmtId="0" fontId="27" fillId="0" borderId="0" xfId="0" applyFont="1" applyAlignment="1">
      <alignment horizontal="left" vertical="center" wrapText="1"/>
    </xf>
    <xf numFmtId="0" fontId="28" fillId="0" borderId="0" xfId="1" applyFont="1" applyFill="1" applyBorder="1" applyAlignment="1">
      <alignment horizontal="left" vertical="center" wrapText="1"/>
    </xf>
    <xf numFmtId="0" fontId="27" fillId="0" borderId="0" xfId="0" applyFont="1" applyAlignment="1">
      <alignment horizontal="center" vertical="center" wrapText="1"/>
    </xf>
    <xf numFmtId="0" fontId="29" fillId="0" borderId="0" xfId="0" applyFont="1" applyAlignment="1">
      <alignment vertical="center"/>
    </xf>
    <xf numFmtId="0" fontId="26" fillId="0" borderId="0" xfId="0" applyFont="1" applyAlignment="1">
      <alignment horizontal="left" vertical="center" wrapText="1"/>
    </xf>
    <xf numFmtId="0" fontId="28" fillId="0" borderId="0" xfId="1" applyFont="1" applyFill="1" applyBorder="1" applyAlignment="1">
      <alignment horizontal="center" vertical="center"/>
    </xf>
    <xf numFmtId="0" fontId="30" fillId="0" borderId="0" xfId="1" applyFont="1" applyFill="1" applyBorder="1" applyAlignment="1">
      <alignment horizontal="left" vertical="center" wrapText="1"/>
    </xf>
    <xf numFmtId="0" fontId="26" fillId="0" borderId="0" xfId="0" applyFont="1" applyAlignment="1">
      <alignment horizontal="center" vertical="center" wrapText="1"/>
    </xf>
    <xf numFmtId="0" fontId="28" fillId="0" borderId="0" xfId="1" applyFont="1" applyFill="1" applyBorder="1" applyAlignment="1">
      <alignment vertical="center"/>
    </xf>
    <xf numFmtId="0" fontId="27" fillId="0" borderId="0" xfId="0" applyFont="1" applyAlignment="1">
      <alignment vertical="center" wrapText="1"/>
    </xf>
    <xf numFmtId="0" fontId="28" fillId="0" borderId="0" xfId="1" applyFont="1" applyFill="1" applyBorder="1" applyAlignment="1">
      <alignment vertical="center" wrapText="1"/>
    </xf>
    <xf numFmtId="0" fontId="26" fillId="0" borderId="0" xfId="0" applyFont="1" applyAlignment="1">
      <alignment vertical="center" wrapText="1"/>
    </xf>
    <xf numFmtId="0" fontId="29" fillId="0" borderId="0" xfId="0" applyFont="1" applyAlignment="1">
      <alignment vertical="center" wrapText="1"/>
    </xf>
    <xf numFmtId="0" fontId="26" fillId="0" borderId="0" xfId="0" applyFont="1" applyAlignment="1">
      <alignment vertical="center"/>
    </xf>
    <xf numFmtId="0" fontId="32" fillId="0" borderId="0" xfId="0" applyFont="1" applyAlignment="1">
      <alignment vertical="center" wrapText="1"/>
    </xf>
    <xf numFmtId="0" fontId="29" fillId="0" borderId="0" xfId="0" applyFont="1"/>
    <xf numFmtId="0" fontId="29" fillId="0" borderId="0" xfId="0" applyFont="1" applyAlignment="1">
      <alignment horizontal="left" vertical="center"/>
    </xf>
    <xf numFmtId="0" fontId="29" fillId="0" borderId="0" xfId="0" applyFont="1" applyAlignment="1">
      <alignment horizontal="center"/>
    </xf>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horizontal="left" vertical="center" wrapText="1"/>
    </xf>
    <xf numFmtId="0" fontId="2" fillId="0" borderId="0" xfId="0" quotePrefix="1" applyFont="1" applyAlignment="1">
      <alignment horizontal="left" vertical="center" wrapText="1"/>
    </xf>
    <xf numFmtId="0" fontId="5" fillId="0" borderId="0" xfId="1" applyFill="1" applyBorder="1"/>
    <xf numFmtId="0" fontId="26" fillId="0" borderId="10" xfId="0" applyFont="1" applyBorder="1" applyAlignment="1">
      <alignment horizontal="left" vertical="center" wrapText="1"/>
    </xf>
    <xf numFmtId="0" fontId="26" fillId="0" borderId="10" xfId="0" applyFont="1" applyBorder="1" applyAlignment="1">
      <alignment vertical="center" wrapText="1"/>
    </xf>
    <xf numFmtId="0" fontId="5" fillId="0" borderId="10" xfId="1" applyFill="1" applyBorder="1" applyAlignment="1">
      <alignment vertical="center" wrapText="1"/>
    </xf>
    <xf numFmtId="0" fontId="27" fillId="0" borderId="10" xfId="0" applyFont="1" applyBorder="1" applyAlignment="1">
      <alignment vertical="center" wrapText="1"/>
    </xf>
    <xf numFmtId="0" fontId="1" fillId="0" borderId="0" xfId="0" applyFont="1" applyAlignment="1">
      <alignment horizontal="left" vertical="center" wrapText="1"/>
    </xf>
    <xf numFmtId="0" fontId="9" fillId="0" borderId="0" xfId="0" applyFont="1" applyAlignment="1">
      <alignment vertical="center" wrapText="1"/>
    </xf>
    <xf numFmtId="1" fontId="2" fillId="0" borderId="0" xfId="0" applyNumberFormat="1" applyFont="1" applyAlignment="1">
      <alignment horizontal="left" vertical="center" wrapText="1"/>
    </xf>
    <xf numFmtId="1" fontId="2" fillId="0" borderId="0" xfId="0" quotePrefix="1" applyNumberFormat="1" applyFont="1" applyAlignment="1">
      <alignment horizontal="left" vertical="center" wrapText="1"/>
    </xf>
    <xf numFmtId="49" fontId="2" fillId="0" borderId="0" xfId="0" applyNumberFormat="1" applyFont="1" applyAlignment="1">
      <alignment horizontal="left" vertical="center" wrapText="1"/>
    </xf>
    <xf numFmtId="0" fontId="0" fillId="0" borderId="0" xfId="0" applyAlignment="1">
      <alignment horizontal="left"/>
    </xf>
    <xf numFmtId="0" fontId="33" fillId="0" borderId="0" xfId="0" applyFont="1"/>
    <xf numFmtId="0" fontId="34" fillId="0" borderId="0" xfId="1" applyFont="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35" fillId="2" borderId="11" xfId="0" applyFont="1" applyFill="1" applyBorder="1" applyAlignment="1">
      <alignment horizontal="left" vertical="center" wrapText="1"/>
    </xf>
    <xf numFmtId="0" fontId="35" fillId="0" borderId="0" xfId="0" applyFont="1" applyAlignment="1">
      <alignment horizontal="left" vertical="center" wrapText="1"/>
    </xf>
    <xf numFmtId="0" fontId="27" fillId="0" borderId="0" xfId="0" quotePrefix="1" applyFont="1" applyAlignment="1">
      <alignment horizontal="left" vertical="center" wrapText="1"/>
    </xf>
    <xf numFmtId="0" fontId="5" fillId="0" borderId="0" xfId="1" applyFill="1" applyBorder="1" applyAlignment="1">
      <alignment wrapText="1"/>
    </xf>
    <xf numFmtId="0" fontId="5" fillId="0" borderId="0" xfId="1" applyFill="1" applyAlignment="1">
      <alignment horizontal="left" vertical="center" wrapText="1"/>
    </xf>
    <xf numFmtId="0" fontId="0" fillId="0" borderId="0" xfId="0" applyAlignment="1">
      <alignment wrapText="1"/>
    </xf>
    <xf numFmtId="0" fontId="40" fillId="0" borderId="0" xfId="0" applyFont="1" applyAlignment="1">
      <alignment vertical="center"/>
    </xf>
    <xf numFmtId="0" fontId="32" fillId="0" borderId="0" xfId="0" applyFont="1" applyAlignment="1">
      <alignment horizontal="left" vertical="center" wrapText="1"/>
    </xf>
    <xf numFmtId="0" fontId="32" fillId="0" borderId="0" xfId="0" applyFont="1" applyAlignment="1">
      <alignment horizontal="center" vertical="center" wrapText="1"/>
    </xf>
    <xf numFmtId="0" fontId="10" fillId="0" borderId="7" xfId="0" applyFont="1" applyBorder="1" applyAlignment="1">
      <alignment vertical="center" wrapText="1"/>
    </xf>
    <xf numFmtId="0" fontId="10" fillId="0" borderId="14" xfId="0" applyFont="1" applyBorder="1" applyAlignment="1">
      <alignment vertical="center"/>
    </xf>
    <xf numFmtId="0" fontId="40" fillId="0" borderId="0" xfId="0" applyFont="1"/>
    <xf numFmtId="0" fontId="32" fillId="5" borderId="15" xfId="0" applyFont="1" applyFill="1" applyBorder="1" applyAlignment="1">
      <alignment horizontal="left" vertical="center" wrapText="1"/>
    </xf>
    <xf numFmtId="0" fontId="44" fillId="5" borderId="15" xfId="1" applyFont="1" applyFill="1" applyBorder="1" applyAlignment="1">
      <alignment vertical="center"/>
    </xf>
    <xf numFmtId="0" fontId="40" fillId="0" borderId="0" xfId="0" applyFont="1" applyAlignment="1">
      <alignment wrapText="1"/>
    </xf>
    <xf numFmtId="0" fontId="45" fillId="0" borderId="0" xfId="0" applyFont="1" applyAlignment="1">
      <alignment horizontal="left" vertical="center" wrapText="1"/>
    </xf>
    <xf numFmtId="0" fontId="44" fillId="0" borderId="0" xfId="1" applyFont="1" applyAlignment="1">
      <alignment horizontal="left" vertical="center" wrapText="1"/>
    </xf>
    <xf numFmtId="0" fontId="40" fillId="0" borderId="0" xfId="0" applyFont="1" applyAlignment="1">
      <alignment horizontal="left" wrapText="1"/>
    </xf>
    <xf numFmtId="0" fontId="40" fillId="0" borderId="0" xfId="0" applyFont="1" applyAlignment="1">
      <alignment horizontal="center" wrapText="1"/>
    </xf>
    <xf numFmtId="0" fontId="46" fillId="0" borderId="0" xfId="0" applyFont="1" applyAlignment="1">
      <alignment horizontal="left" vertical="center" wrapText="1"/>
    </xf>
    <xf numFmtId="0" fontId="2" fillId="0" borderId="0" xfId="0" applyFont="1" applyAlignment="1">
      <alignment horizontal="left" vertical="center"/>
    </xf>
    <xf numFmtId="0" fontId="27" fillId="0" borderId="0" xfId="0" applyFont="1" applyAlignment="1">
      <alignment horizontal="left" vertical="center"/>
    </xf>
    <xf numFmtId="0" fontId="1" fillId="0" borderId="18" xfId="0" applyFont="1" applyBorder="1" applyAlignment="1">
      <alignment vertical="center" wrapText="1"/>
    </xf>
    <xf numFmtId="0" fontId="29" fillId="0" borderId="16" xfId="0" applyFont="1" applyBorder="1" applyAlignment="1">
      <alignment vertical="center"/>
    </xf>
    <xf numFmtId="0" fontId="29" fillId="0" borderId="17" xfId="0" applyFont="1" applyBorder="1" applyAlignment="1">
      <alignment vertical="center"/>
    </xf>
    <xf numFmtId="0" fontId="37" fillId="0" borderId="0" xfId="0" applyFont="1" applyAlignment="1">
      <alignment horizontal="center" vertical="center"/>
    </xf>
    <xf numFmtId="0" fontId="38" fillId="0" borderId="0" xfId="0" applyFont="1" applyAlignment="1">
      <alignment horizontal="left" vertical="center" wrapText="1"/>
    </xf>
    <xf numFmtId="0" fontId="36" fillId="0" borderId="0" xfId="0" applyFont="1" applyAlignment="1">
      <alignment horizontal="left" vertical="center" wrapText="1"/>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8" fillId="0" borderId="0" xfId="0" applyFont="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29" fillId="5" borderId="15" xfId="0" applyFont="1" applyFill="1" applyBorder="1" applyAlignment="1">
      <alignment vertical="center"/>
    </xf>
    <xf numFmtId="0" fontId="29" fillId="5" borderId="19" xfId="0" applyFont="1" applyFill="1" applyBorder="1" applyAlignment="1">
      <alignment vertical="center"/>
    </xf>
  </cellXfs>
  <cellStyles count="2">
    <cellStyle name="Hyperlink" xfId="1" builtinId="8"/>
    <cellStyle name="Normal" xfId="0" builtinId="0"/>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Times New Roman"/>
        <family val="1"/>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border outline="0">
        <left style="thin">
          <color theme="0" tint="-0.34998626667073579"/>
        </left>
        <top style="thin">
          <color theme="0" tint="-0.34998626667073579"/>
        </top>
      </border>
    </dxf>
    <dxf>
      <fill>
        <patternFill patternType="none">
          <fgColor indexed="64"/>
          <bgColor auto="1"/>
        </patternFill>
      </fill>
    </dxf>
    <dxf>
      <border outline="0">
        <bottom style="thin">
          <color theme="0" tint="-0.34998626667073579"/>
        </bottom>
      </border>
    </dxf>
    <dxf>
      <font>
        <b/>
        <i val="0"/>
        <strike val="0"/>
        <condense val="0"/>
        <extend val="0"/>
        <outline val="0"/>
        <shadow val="0"/>
        <u val="none"/>
        <vertAlign val="baseline"/>
        <sz val="10"/>
        <color theme="1"/>
        <name val="Segoe U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bgColor auto="1"/>
        </patternFill>
      </fill>
      <alignment horizontal="general" vertical="center" textRotation="0" wrapText="1"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fgColor theme="4" tint="0.79998168889431442"/>
          <bgColor auto="1"/>
        </patternFill>
      </fill>
      <alignment horizontal="left" vertical="center" textRotation="0" wrapText="1"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374151"/>
        <name val="Calibri"/>
        <family val="2"/>
        <scheme val="minor"/>
      </font>
      <fill>
        <patternFill patternType="none">
          <bgColor auto="1"/>
        </patternFill>
      </fill>
      <alignment horizontal="general"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name val="Calibri"/>
        <family val="2"/>
        <scheme val="minor"/>
      </font>
      <fill>
        <patternFill patternType="none">
          <bgColor auto="1"/>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border outline="0">
        <left style="thin">
          <color indexed="64"/>
        </left>
      </border>
    </dxf>
    <dxf>
      <font>
        <b val="0"/>
        <i val="0"/>
        <strike val="0"/>
        <condense val="0"/>
        <extend val="0"/>
        <outline val="0"/>
        <shadow val="0"/>
        <u val="none"/>
        <vertAlign val="baseline"/>
        <sz val="8"/>
        <color rgb="FF374151"/>
        <name val="Segoe UI"/>
        <family val="2"/>
        <scheme val="none"/>
      </font>
      <fill>
        <patternFill patternType="none">
          <fgColor indexed="64"/>
          <bgColor auto="1"/>
        </patternFill>
      </fill>
      <alignment horizontal="left" vertical="center" textRotation="0" wrapText="1" indent="0" justifyLastLine="0" shrinkToFit="0" readingOrder="0"/>
    </dxf>
    <dxf>
      <font>
        <b/>
        <i val="0"/>
        <strike val="0"/>
        <condense val="0"/>
        <extend val="0"/>
        <outline val="0"/>
        <shadow val="0"/>
        <u val="none"/>
        <vertAlign val="baseline"/>
        <sz val="10"/>
        <color theme="1"/>
        <name val="Segoe U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hyperlink" Target="#'Radni vijek'!A1"/><Relationship Id="rId2" Type="http://schemas.openxmlformats.org/officeDocument/2006/relationships/hyperlink" Target="#Skolska!A1"/><Relationship Id="rId1" Type="http://schemas.openxmlformats.org/officeDocument/2006/relationships/hyperlink" Target="#Predskolska!A1"/><Relationship Id="rId5" Type="http://schemas.openxmlformats.org/officeDocument/2006/relationships/hyperlink" Target="#Dijagnoza!A1"/><Relationship Id="rId4" Type="http://schemas.openxmlformats.org/officeDocument/2006/relationships/hyperlink" Target="#'Treca dob'!A1"/></Relationships>
</file>

<file path=xl/drawings/_rels/drawing3.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9118600</xdr:colOff>
      <xdr:row>1</xdr:row>
      <xdr:rowOff>95250</xdr:rowOff>
    </xdr:from>
    <xdr:to>
      <xdr:col>2</xdr:col>
      <xdr:colOff>10947400</xdr:colOff>
      <xdr:row>15</xdr:row>
      <xdr:rowOff>34925</xdr:rowOff>
    </xdr:to>
    <mc:AlternateContent xmlns:mc="http://schemas.openxmlformats.org/markup-compatibility/2006" xmlns:a14="http://schemas.microsoft.com/office/drawing/2010/main">
      <mc:Choice Requires="a14">
        <xdr:graphicFrame macro="">
          <xdr:nvGraphicFramePr>
            <xdr:cNvPr id="2" name="Životna dob">
              <a:extLst>
                <a:ext uri="{FF2B5EF4-FFF2-40B4-BE49-F238E27FC236}">
                  <a16:creationId xmlns:a16="http://schemas.microsoft.com/office/drawing/2014/main" id="{B12410D9-B04E-89E5-CDF0-63B6F601BB83}"/>
                </a:ext>
              </a:extLst>
            </xdr:cNvPr>
            <xdr:cNvGraphicFramePr/>
          </xdr:nvGraphicFramePr>
          <xdr:xfrm>
            <a:off x="0" y="0"/>
            <a:ext cx="0" cy="0"/>
          </xdr:xfrm>
          <a:graphic>
            <a:graphicData uri="http://schemas.microsoft.com/office/drawing/2010/slicer">
              <sle:slicer xmlns:sle="http://schemas.microsoft.com/office/drawing/2010/slicer" name="Životna dob"/>
            </a:graphicData>
          </a:graphic>
        </xdr:graphicFrame>
      </mc:Choice>
      <mc:Fallback xmlns="">
        <xdr:sp macro="" textlink="">
          <xdr:nvSpPr>
            <xdr:cNvPr id="0" name=""/>
            <xdr:cNvSpPr>
              <a:spLocks noTextEdit="1"/>
            </xdr:cNvSpPr>
          </xdr:nvSpPr>
          <xdr:spPr>
            <a:xfrm>
              <a:off x="20373975" y="285750"/>
              <a:ext cx="1828800" cy="2606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11474450</xdr:colOff>
      <xdr:row>1</xdr:row>
      <xdr:rowOff>120650</xdr:rowOff>
    </xdr:from>
    <xdr:to>
      <xdr:col>2</xdr:col>
      <xdr:colOff>13306425</xdr:colOff>
      <xdr:row>15</xdr:row>
      <xdr:rowOff>66675</xdr:rowOff>
    </xdr:to>
    <mc:AlternateContent xmlns:mc="http://schemas.openxmlformats.org/markup-compatibility/2006" xmlns:a14="http://schemas.microsoft.com/office/drawing/2010/main">
      <mc:Choice Requires="a14">
        <xdr:graphicFrame macro="">
          <xdr:nvGraphicFramePr>
            <xdr:cNvPr id="3" name="Tip usluge/prava/benefita">
              <a:extLst>
                <a:ext uri="{FF2B5EF4-FFF2-40B4-BE49-F238E27FC236}">
                  <a16:creationId xmlns:a16="http://schemas.microsoft.com/office/drawing/2014/main" id="{9E7F0889-C9AD-7D91-70F5-CC636CC8F0AE}"/>
                </a:ext>
              </a:extLst>
            </xdr:cNvPr>
            <xdr:cNvGraphicFramePr/>
          </xdr:nvGraphicFramePr>
          <xdr:xfrm>
            <a:off x="0" y="0"/>
            <a:ext cx="0" cy="0"/>
          </xdr:xfrm>
          <a:graphic>
            <a:graphicData uri="http://schemas.microsoft.com/office/drawing/2010/slicer">
              <sle:slicer xmlns:sle="http://schemas.microsoft.com/office/drawing/2010/slicer" name="Tip usluge/prava/benefita"/>
            </a:graphicData>
          </a:graphic>
        </xdr:graphicFrame>
      </mc:Choice>
      <mc:Fallback xmlns="">
        <xdr:sp macro="" textlink="">
          <xdr:nvSpPr>
            <xdr:cNvPr id="0" name=""/>
            <xdr:cNvSpPr>
              <a:spLocks noTextEdit="1"/>
            </xdr:cNvSpPr>
          </xdr:nvSpPr>
          <xdr:spPr>
            <a:xfrm>
              <a:off x="22729825" y="311150"/>
              <a:ext cx="1831975" cy="261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9042400</xdr:colOff>
      <xdr:row>16</xdr:row>
      <xdr:rowOff>184150</xdr:rowOff>
    </xdr:from>
    <xdr:to>
      <xdr:col>2</xdr:col>
      <xdr:colOff>10871200</xdr:colOff>
      <xdr:row>30</xdr:row>
      <xdr:rowOff>130175</xdr:rowOff>
    </xdr:to>
    <mc:AlternateContent xmlns:mc="http://schemas.openxmlformats.org/markup-compatibility/2006" xmlns:a14="http://schemas.microsoft.com/office/drawing/2010/main">
      <mc:Choice Requires="a14">
        <xdr:graphicFrame macro="">
          <xdr:nvGraphicFramePr>
            <xdr:cNvPr id="4" name="Ministartvo/Organizacija">
              <a:extLst>
                <a:ext uri="{FF2B5EF4-FFF2-40B4-BE49-F238E27FC236}">
                  <a16:creationId xmlns:a16="http://schemas.microsoft.com/office/drawing/2014/main" id="{68542CDF-FEC2-B959-7DFE-A0C9B78C9CB7}"/>
                </a:ext>
              </a:extLst>
            </xdr:cNvPr>
            <xdr:cNvGraphicFramePr/>
          </xdr:nvGraphicFramePr>
          <xdr:xfrm>
            <a:off x="0" y="0"/>
            <a:ext cx="0" cy="0"/>
          </xdr:xfrm>
          <a:graphic>
            <a:graphicData uri="http://schemas.microsoft.com/office/drawing/2010/slicer">
              <sle:slicer xmlns:sle="http://schemas.microsoft.com/office/drawing/2010/slicer" name="Ministartvo/Organizacija"/>
            </a:graphicData>
          </a:graphic>
        </xdr:graphicFrame>
      </mc:Choice>
      <mc:Fallback xmlns="">
        <xdr:sp macro="" textlink="">
          <xdr:nvSpPr>
            <xdr:cNvPr id="0" name=""/>
            <xdr:cNvSpPr>
              <a:spLocks noTextEdit="1"/>
            </xdr:cNvSpPr>
          </xdr:nvSpPr>
          <xdr:spPr>
            <a:xfrm>
              <a:off x="20297775" y="3232150"/>
              <a:ext cx="1828800" cy="261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443924</xdr:colOff>
      <xdr:row>4</xdr:row>
      <xdr:rowOff>50800</xdr:rowOff>
    </xdr:from>
    <xdr:to>
      <xdr:col>4</xdr:col>
      <xdr:colOff>380424</xdr:colOff>
      <xdr:row>8</xdr:row>
      <xdr:rowOff>63500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5256DB8A-CF42-4887-84B5-32DBDBDCC746}"/>
            </a:ext>
          </a:extLst>
        </xdr:cNvPr>
        <xdr:cNvSpPr/>
      </xdr:nvSpPr>
      <xdr:spPr>
        <a:xfrm>
          <a:off x="1057276" y="801255"/>
          <a:ext cx="1776557" cy="763154"/>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PREDŠOLSKA DOB</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4</xdr:col>
      <xdr:colOff>475674</xdr:colOff>
      <xdr:row>7</xdr:row>
      <xdr:rowOff>69851</xdr:rowOff>
    </xdr:from>
    <xdr:to>
      <xdr:col>7</xdr:col>
      <xdr:colOff>412173</xdr:colOff>
      <xdr:row>11</xdr:row>
      <xdr:rowOff>82550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25318021-E7EB-441D-80CA-94CD5FA9AEF7}"/>
            </a:ext>
          </a:extLst>
        </xdr:cNvPr>
        <xdr:cNvSpPr/>
      </xdr:nvSpPr>
      <xdr:spPr>
        <a:xfrm>
          <a:off x="2929083" y="1383146"/>
          <a:ext cx="1776556" cy="763154"/>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ŠKOLSKA DOB</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7</xdr:col>
      <xdr:colOff>520123</xdr:colOff>
      <xdr:row>10</xdr:row>
      <xdr:rowOff>57151</xdr:rowOff>
    </xdr:from>
    <xdr:to>
      <xdr:col>10</xdr:col>
      <xdr:colOff>456623</xdr:colOff>
      <xdr:row>14</xdr:row>
      <xdr:rowOff>69850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36ED50B6-DE0E-4BF6-B83E-DCACCC2326F2}"/>
            </a:ext>
          </a:extLst>
        </xdr:cNvPr>
        <xdr:cNvSpPr/>
      </xdr:nvSpPr>
      <xdr:spPr>
        <a:xfrm>
          <a:off x="4813589" y="1933287"/>
          <a:ext cx="1776557" cy="763154"/>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RADNI VIJEK</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10</xdr:col>
      <xdr:colOff>570923</xdr:colOff>
      <xdr:row>13</xdr:row>
      <xdr:rowOff>57151</xdr:rowOff>
    </xdr:from>
    <xdr:to>
      <xdr:col>13</xdr:col>
      <xdr:colOff>507423</xdr:colOff>
      <xdr:row>17</xdr:row>
      <xdr:rowOff>69850</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58CF28A5-0153-4A93-A91D-81D4FB8A7826}"/>
            </a:ext>
          </a:extLst>
        </xdr:cNvPr>
        <xdr:cNvSpPr/>
      </xdr:nvSpPr>
      <xdr:spPr>
        <a:xfrm>
          <a:off x="6704446" y="2496128"/>
          <a:ext cx="1776557" cy="763154"/>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hr-BA" sz="1400">
              <a:latin typeface="Times New Roman" panose="02020603050405020304" pitchFamily="18" charset="0"/>
              <a:cs typeface="Times New Roman" panose="02020603050405020304" pitchFamily="18" charset="0"/>
            </a:rPr>
            <a:t>TREĆA ŽIVOTNA DOB</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0</xdr:col>
      <xdr:colOff>342900</xdr:colOff>
      <xdr:row>0</xdr:row>
      <xdr:rowOff>50800</xdr:rowOff>
    </xdr:from>
    <xdr:to>
      <xdr:col>15</xdr:col>
      <xdr:colOff>476250</xdr:colOff>
      <xdr:row>2</xdr:row>
      <xdr:rowOff>88900</xdr:rowOff>
    </xdr:to>
    <xdr:sp macro="[0]!Rectangle6_Click" textlink="">
      <xdr:nvSpPr>
        <xdr:cNvPr id="7" name="Rectangle 6">
          <a:hlinkClick xmlns:r="http://schemas.openxmlformats.org/officeDocument/2006/relationships" r:id="rId5"/>
          <a:extLst>
            <a:ext uri="{FF2B5EF4-FFF2-40B4-BE49-F238E27FC236}">
              <a16:creationId xmlns:a16="http://schemas.microsoft.com/office/drawing/2014/main" id="{D3A829ED-C637-4A05-B58A-998B2172D63A}"/>
            </a:ext>
          </a:extLst>
        </xdr:cNvPr>
        <xdr:cNvSpPr/>
      </xdr:nvSpPr>
      <xdr:spPr>
        <a:xfrm>
          <a:off x="342900" y="50800"/>
          <a:ext cx="9277350" cy="406400"/>
        </a:xfrm>
        <a:prstGeom prst="rect">
          <a:avLst/>
        </a:prstGeom>
        <a:solidFill>
          <a:schemeClr val="accent5">
            <a:lumMod val="60000"/>
            <a:lumOff val="40000"/>
          </a:schemeClr>
        </a:solidFill>
        <a:ln>
          <a:solidFill>
            <a:schemeClr val="accent5">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hr-BA" sz="1400">
              <a:latin typeface="Times New Roman" panose="02020603050405020304" pitchFamily="18" charset="0"/>
              <a:cs typeface="Times New Roman" panose="02020603050405020304" pitchFamily="18" charset="0"/>
            </a:rPr>
            <a:t>ODAKLE POČETI -</a:t>
          </a:r>
          <a:r>
            <a:rPr lang="hr-BA" sz="1400" baseline="0">
              <a:latin typeface="Times New Roman" panose="02020603050405020304" pitchFamily="18" charset="0"/>
              <a:cs typeface="Times New Roman" panose="02020603050405020304" pitchFamily="18" charset="0"/>
            </a:rPr>
            <a:t> MEDICINSKO VJEŠTAČENJE</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123702</xdr:colOff>
      <xdr:row>0</xdr:row>
      <xdr:rowOff>181429</xdr:rowOff>
    </xdr:from>
    <xdr:to>
      <xdr:col>21</xdr:col>
      <xdr:colOff>185883</xdr:colOff>
      <xdr:row>4</xdr:row>
      <xdr:rowOff>83870</xdr:rowOff>
    </xdr:to>
    <xdr:sp macro="" textlink="">
      <xdr:nvSpPr>
        <xdr:cNvPr id="11" name="Arrow: Left 10">
          <a:hlinkClick xmlns:r="http://schemas.openxmlformats.org/officeDocument/2006/relationships" r:id="rId1"/>
          <a:extLst>
            <a:ext uri="{FF2B5EF4-FFF2-40B4-BE49-F238E27FC236}">
              <a16:creationId xmlns:a16="http://schemas.microsoft.com/office/drawing/2014/main" id="{73743CA0-FCA0-4314-B3ED-5AEBA6DCC8BF}"/>
            </a:ext>
          </a:extLst>
        </xdr:cNvPr>
        <xdr:cNvSpPr/>
      </xdr:nvSpPr>
      <xdr:spPr>
        <a:xfrm>
          <a:off x="11825845" y="181429"/>
          <a:ext cx="1282700" cy="859064"/>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503053</xdr:colOff>
      <xdr:row>9</xdr:row>
      <xdr:rowOff>0</xdr:rowOff>
    </xdr:from>
    <xdr:to>
      <xdr:col>10</xdr:col>
      <xdr:colOff>349994</xdr:colOff>
      <xdr:row>44</xdr:row>
      <xdr:rowOff>47006</xdr:rowOff>
    </xdr:to>
    <xdr:pic>
      <xdr:nvPicPr>
        <xdr:cNvPr id="12" name="Picture 11">
          <a:extLst>
            <a:ext uri="{FF2B5EF4-FFF2-40B4-BE49-F238E27FC236}">
              <a16:creationId xmlns:a16="http://schemas.microsoft.com/office/drawing/2014/main" id="{7685503D-8309-8AEA-18AA-2B5D1F5AE5D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938" b="-1"/>
        <a:stretch/>
      </xdr:blipFill>
      <xdr:spPr bwMode="auto">
        <a:xfrm>
          <a:off x="503053" y="1863766"/>
          <a:ext cx="5949538" cy="6446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197922</xdr:colOff>
      <xdr:row>9</xdr:row>
      <xdr:rowOff>131947</xdr:rowOff>
    </xdr:from>
    <xdr:to>
      <xdr:col>21</xdr:col>
      <xdr:colOff>547172</xdr:colOff>
      <xdr:row>24</xdr:row>
      <xdr:rowOff>142256</xdr:rowOff>
    </xdr:to>
    <xdr:pic>
      <xdr:nvPicPr>
        <xdr:cNvPr id="13" name="Picture 12">
          <a:extLst>
            <a:ext uri="{FF2B5EF4-FFF2-40B4-BE49-F238E27FC236}">
              <a16:creationId xmlns:a16="http://schemas.microsoft.com/office/drawing/2014/main" id="{47C22766-1C26-FF5F-C6E5-36FDFA5F8E3F}"/>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5766"/>
        <a:stretch/>
      </xdr:blipFill>
      <xdr:spPr bwMode="auto">
        <a:xfrm>
          <a:off x="7521039" y="1995713"/>
          <a:ext cx="5948795" cy="2731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323850</xdr:colOff>
      <xdr:row>0</xdr:row>
      <xdr:rowOff>139700</xdr:rowOff>
    </xdr:from>
    <xdr:to>
      <xdr:col>1</xdr:col>
      <xdr:colOff>1955800</xdr:colOff>
      <xdr:row>9</xdr:row>
      <xdr:rowOff>165100</xdr:rowOff>
    </xdr:to>
    <xdr:pic>
      <xdr:nvPicPr>
        <xdr:cNvPr id="4" name="Picture 3" descr="How to Draw a Child - Easy Drawing Tutorial For Kids">
          <a:extLst>
            <a:ext uri="{FF2B5EF4-FFF2-40B4-BE49-F238E27FC236}">
              <a16:creationId xmlns:a16="http://schemas.microsoft.com/office/drawing/2014/main" id="{5CF47AFA-C98F-8AB8-9AC9-284A40C313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139700"/>
          <a:ext cx="1631950" cy="163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3911600</xdr:colOff>
      <xdr:row>1</xdr:row>
      <xdr:rowOff>76200</xdr:rowOff>
    </xdr:from>
    <xdr:to>
      <xdr:col>2</xdr:col>
      <xdr:colOff>5194300</xdr:colOff>
      <xdr:row>6</xdr:row>
      <xdr:rowOff>25400</xdr:rowOff>
    </xdr:to>
    <xdr:sp macro="" textlink="">
      <xdr:nvSpPr>
        <xdr:cNvPr id="6" name="Arrow: Left 5">
          <a:hlinkClick xmlns:r="http://schemas.openxmlformats.org/officeDocument/2006/relationships" r:id="rId2"/>
          <a:extLst>
            <a:ext uri="{FF2B5EF4-FFF2-40B4-BE49-F238E27FC236}">
              <a16:creationId xmlns:a16="http://schemas.microsoft.com/office/drawing/2014/main" id="{6D317E55-AEDF-4BEF-988D-1ABEFBBCEAF6}"/>
            </a:ext>
          </a:extLst>
        </xdr:cNvPr>
        <xdr:cNvSpPr/>
      </xdr:nvSpPr>
      <xdr:spPr>
        <a:xfrm>
          <a:off x="6851650" y="2540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88900</xdr:colOff>
      <xdr:row>1</xdr:row>
      <xdr:rowOff>69850</xdr:rowOff>
    </xdr:from>
    <xdr:to>
      <xdr:col>1</xdr:col>
      <xdr:colOff>2225675</xdr:colOff>
      <xdr:row>10</xdr:row>
      <xdr:rowOff>31750</xdr:rowOff>
    </xdr:to>
    <xdr:pic>
      <xdr:nvPicPr>
        <xdr:cNvPr id="3" name="Picture 2" descr="How to Draw Kids in Classroom Cartoon - Really Easy Drawing Tutorial">
          <a:extLst>
            <a:ext uri="{FF2B5EF4-FFF2-40B4-BE49-F238E27FC236}">
              <a16:creationId xmlns:a16="http://schemas.microsoft.com/office/drawing/2014/main" id="{3BBED7E1-4DC1-BF1E-30A9-FA94B6EA549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6191"/>
        <a:stretch/>
      </xdr:blipFill>
      <xdr:spPr bwMode="auto">
        <a:xfrm>
          <a:off x="698500" y="247650"/>
          <a:ext cx="2146300" cy="157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3917950</xdr:colOff>
      <xdr:row>1</xdr:row>
      <xdr:rowOff>177800</xdr:rowOff>
    </xdr:from>
    <xdr:to>
      <xdr:col>2</xdr:col>
      <xdr:colOff>5200650</xdr:colOff>
      <xdr:row>6</xdr:row>
      <xdr:rowOff>120650</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6D64467D-EB6F-4E8F-A2B7-858C0F1C4BA0}"/>
            </a:ext>
          </a:extLst>
        </xdr:cNvPr>
        <xdr:cNvSpPr/>
      </xdr:nvSpPr>
      <xdr:spPr>
        <a:xfrm>
          <a:off x="6858000" y="3556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196850</xdr:colOff>
      <xdr:row>1</xdr:row>
      <xdr:rowOff>44450</xdr:rowOff>
    </xdr:from>
    <xdr:to>
      <xdr:col>1</xdr:col>
      <xdr:colOff>2076493</xdr:colOff>
      <xdr:row>9</xdr:row>
      <xdr:rowOff>158750</xdr:rowOff>
    </xdr:to>
    <xdr:pic>
      <xdr:nvPicPr>
        <xdr:cNvPr id="3" name="Picture 2" descr="young man working in workplace desk and computer vector illustration  drawing Stock Vector Image &amp; Art - Alamy">
          <a:extLst>
            <a:ext uri="{FF2B5EF4-FFF2-40B4-BE49-F238E27FC236}">
              <a16:creationId xmlns:a16="http://schemas.microsoft.com/office/drawing/2014/main" id="{AAC09D8D-FCC3-4095-880A-3078FA0045E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8722"/>
        <a:stretch/>
      </xdr:blipFill>
      <xdr:spPr bwMode="auto">
        <a:xfrm>
          <a:off x="806450" y="222250"/>
          <a:ext cx="1879643" cy="155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4044950</xdr:colOff>
      <xdr:row>2</xdr:row>
      <xdr:rowOff>69850</xdr:rowOff>
    </xdr:from>
    <xdr:to>
      <xdr:col>3</xdr:col>
      <xdr:colOff>19050</xdr:colOff>
      <xdr:row>7</xdr:row>
      <xdr:rowOff>12700</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37FA800A-0D04-465F-A15F-85238EFB9488}"/>
            </a:ext>
          </a:extLst>
        </xdr:cNvPr>
        <xdr:cNvSpPr/>
      </xdr:nvSpPr>
      <xdr:spPr>
        <a:xfrm>
          <a:off x="6985000" y="4318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114299</xdr:colOff>
      <xdr:row>0</xdr:row>
      <xdr:rowOff>50800</xdr:rowOff>
    </xdr:from>
    <xdr:to>
      <xdr:col>1</xdr:col>
      <xdr:colOff>2177072</xdr:colOff>
      <xdr:row>10</xdr:row>
      <xdr:rowOff>76200</xdr:rowOff>
    </xdr:to>
    <xdr:pic>
      <xdr:nvPicPr>
        <xdr:cNvPr id="3" name="Picture 2" descr="Page 5 | Retirement Drawing Images - Free Download on Freepik">
          <a:extLst>
            <a:ext uri="{FF2B5EF4-FFF2-40B4-BE49-F238E27FC236}">
              <a16:creationId xmlns:a16="http://schemas.microsoft.com/office/drawing/2014/main" id="{E4C49DF8-66FB-23B0-E940-F097658D298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1650"/>
        <a:stretch/>
      </xdr:blipFill>
      <xdr:spPr bwMode="auto">
        <a:xfrm>
          <a:off x="723899" y="50800"/>
          <a:ext cx="2062773" cy="182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4000500</xdr:colOff>
      <xdr:row>2</xdr:row>
      <xdr:rowOff>107950</xdr:rowOff>
    </xdr:from>
    <xdr:to>
      <xdr:col>2</xdr:col>
      <xdr:colOff>5283200</xdr:colOff>
      <xdr:row>7</xdr:row>
      <xdr:rowOff>50800</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3EA758F8-808D-49AF-B18F-EF3A514EF9DC}"/>
            </a:ext>
          </a:extLst>
        </xdr:cNvPr>
        <xdr:cNvSpPr/>
      </xdr:nvSpPr>
      <xdr:spPr>
        <a:xfrm>
          <a:off x="6940550" y="469900"/>
          <a:ext cx="1282700" cy="844550"/>
        </a:xfrm>
        <a:prstGeom prst="leftArrow">
          <a:avLst/>
        </a:prstGeom>
        <a:solidFill>
          <a:schemeClr val="accent5">
            <a:lumMod val="60000"/>
            <a:lumOff val="4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hr-BA" sz="1100" b="1">
              <a:latin typeface="Times New Roman" panose="02020603050405020304" pitchFamily="18" charset="0"/>
              <a:cs typeface="Times New Roman" panose="02020603050405020304" pitchFamily="18" charset="0"/>
            </a:rPr>
            <a:t>NAZAD</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1414602</xdr:colOff>
      <xdr:row>2</xdr:row>
      <xdr:rowOff>164376</xdr:rowOff>
    </xdr:to>
    <xdr:pic>
      <xdr:nvPicPr>
        <xdr:cNvPr id="3" name="Picture 2">
          <a:extLst>
            <a:ext uri="{FF2B5EF4-FFF2-40B4-BE49-F238E27FC236}">
              <a16:creationId xmlns:a16="http://schemas.microsoft.com/office/drawing/2014/main" id="{EF10A798-2FFD-4797-3236-88257242AC11}"/>
            </a:ext>
          </a:extLst>
        </xdr:cNvPr>
        <xdr:cNvPicPr>
          <a:picLocks noChangeAspect="1"/>
        </xdr:cNvPicPr>
      </xdr:nvPicPr>
      <xdr:blipFill>
        <a:blip xmlns:r="http://schemas.openxmlformats.org/officeDocument/2006/relationships" r:embed="rId1"/>
        <a:stretch>
          <a:fillRect/>
        </a:stretch>
      </xdr:blipFill>
      <xdr:spPr>
        <a:xfrm>
          <a:off x="0" y="0"/>
          <a:ext cx="2024202" cy="10121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es-PC\Github\amra-test\Mapping%20of%20services.xlsx" TargetMode="External"/><Relationship Id="rId1" Type="http://schemas.openxmlformats.org/officeDocument/2006/relationships/externalLinkPath" Target="Mapping%20of%20servi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ter"/>
      <sheetName val="Pivot"/>
      <sheetName val="All (2)"/>
      <sheetName val="HOME"/>
      <sheetName val="Dijagnoza"/>
      <sheetName val="1"/>
      <sheetName val="2"/>
      <sheetName val="3"/>
      <sheetName val="4"/>
      <sheetName val="5"/>
      <sheetName val="Dashboard"/>
      <sheetName val="Neinstitucionalizirana prava"/>
      <sheetName val="Administrativni postupci"/>
      <sheetName val="Diskrecione usluge"/>
      <sheetName val="Sheet1"/>
      <sheetName val="RASPORED ZA INFOGRAFIKU"/>
      <sheetName val="INFOGRAF"/>
      <sheetName val="All"/>
      <sheetName val="Sheet2"/>
      <sheetName val="Mapping of serv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A1" t="str">
            <v>Adresa</v>
          </cell>
        </row>
      </sheetData>
      <sheetData sheetId="15"/>
      <sheetData sheetId="16"/>
      <sheetData sheetId="17">
        <row r="35">
          <cell r="B35" t="str">
            <v>Ambulanta "Sve na jednom mjestu" za djecu i osobe s poteškoćama u razvoju</v>
          </cell>
          <cell r="C35" t="str">
            <v>Dodatna ambulanta nije namijenjena za prehlade, upale grla i sl. Nego, ukoliko dijete ili osoba sa teškoćama u razvoju treba istovremeno preglede, odnosno nalaze, kao što su vađenje krvi, EKG, RTG pluća, pedijatrijski pregled ili mišljenje anesteziologa.</v>
          </cell>
          <cell r="D35" t="str">
            <v>Novorođenče; Predškolska dob; Školska dob; Radni vijek; Treća životna dob</v>
          </cell>
          <cell r="E35" t="str">
            <v>Zdravstvena zaštita</v>
          </cell>
          <cell r="F35" t="str">
            <v>Opća bolnica "Prim.dr. Abdulah Nakaš"</v>
          </cell>
          <cell r="G35" t="str">
            <v>Kranjčevićeva 12, Sarajevo</v>
          </cell>
          <cell r="I35">
            <v>38733285261</v>
          </cell>
          <cell r="L35" t="str">
            <v>Naručivanje u ambulanti.</v>
          </cell>
          <cell r="P35" t="str">
            <v>Prava, nasumični postupci</v>
          </cell>
        </row>
        <row r="36">
          <cell r="B36" t="str">
            <v>Asistent u nastavi</v>
          </cell>
          <cell r="C36" t="str">
            <v>Asistenti u nastavi se uvode sa ciljem da, u skladu sa potrebama djece, pruže pomoć i podršku inkluzivnom obrazovanju. Predstavljaju pomoć odgajatelju/nastavniku i stručnim saradnjicima u cilju unapređenja njihovog rada sa dijecom. IPP definira potrebu za asistentima u nastavi. Obuku, akreditaciju asistenata i nadzor nad radom asistenata vrši Prosvjetno-pedagoški zavod, u skladu sa propisom koji donosi ministar.</v>
          </cell>
          <cell r="D36" t="str">
            <v>Školska dob</v>
          </cell>
          <cell r="E36" t="str">
            <v>Obrazovanje</v>
          </cell>
          <cell r="F36" t="str">
            <v>Ministarstvo odgoja i obrazovanja</v>
          </cell>
          <cell r="G36" t="str">
            <v xml:space="preserve"> Reisa Džemaludina Čauševića 1, 71000 Sarajevo     </v>
          </cell>
          <cell r="H36" t="str">
            <v>https://mo.ks.gov.ba/kontakti</v>
          </cell>
          <cell r="I36">
            <v>38733562128</v>
          </cell>
          <cell r="J36" t="str">
            <v xml:space="preserve">mo@mo.ks.gov.ba </v>
          </cell>
          <cell r="K36" t="str">
            <v>Zakon o osnovnom odgoju i obrazovanju (Službene novine Kantona Sarajevo, 23/2017, 33/2017, 30/2019, 34/2020, 33/2021)
Pravilnik o inkluzivnom obrazovanju (Službene novine Kantona Sarajevo, 32/19)</v>
          </cell>
          <cell r="L36" t="str">
            <v>Nije definisan; Nema upute kako "započeti" proces za roditelja/dijete. Definirano je da ustanova/centar treba da se obrati ministarstvu za dodatnu podršku, ministarstvo rješava zahtjeve (prema obrascu) za 15 dana.</v>
          </cell>
          <cell r="M36" t="str">
            <v>Nije definisano</v>
          </cell>
          <cell r="N36" t="str">
            <v>N/a</v>
          </cell>
          <cell r="P36" t="str">
            <v>Prava, nasumični postupci</v>
          </cell>
        </row>
        <row r="37">
          <cell r="B37" t="str">
            <v>Usluge centara za prevenciju</v>
          </cell>
          <cell r="C37" t="str">
            <v>Logopedi, defektolozi</v>
          </cell>
          <cell r="D37" t="str">
            <v>Novorođenče; Predškolska dob; Školska dob</v>
          </cell>
          <cell r="E37" t="str">
            <v>Zdravstvena zaštita</v>
          </cell>
          <cell r="K37" t="str">
            <v>Zakon o osnovama socijalne zaštite, zaštite civilnih žrtava rata i zaštite porodice s djecom, Član 88: Zaštita porodice sa djecom ima za cilj:
da se osiguraju svoj djeci približno jednaki uvjeti za zdrav i pravilan tjelesni, intelektualni i emocionalni razvoj u porodici,
pomoć u ostvarivanju njene reproduktivne uloge, njezi, podizanju, odgoju i zaštiti djece i poboljšanju kvaliteta života porodice,
razvijanje humanih odnosa u skladu sa načelima građanskog morala i solidarnosti.
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v>
          </cell>
          <cell r="P37" t="str">
            <v>Prava, nasumični postupci</v>
          </cell>
        </row>
        <row r="38">
          <cell r="B38" t="str">
            <v>Jednokratna novčana pomoć za invalidna lica</v>
          </cell>
          <cell r="C38" t="str">
            <v>Općina Ilidža: Općinski načelnik dodjeljuje jednokratnu novčanu pomoć osobama sa invaliditetom sa posebnim potrebama koje su u socijalnoj potrebi.</v>
          </cell>
          <cell r="D38" t="str">
            <v>Novorođenče; Predškolska dob; Školska dob; Radni vijek; Treća životna dob</v>
          </cell>
          <cell r="E38" t="str">
            <v>Socijalna zaštita za PwD</v>
          </cell>
          <cell r="F38" t="str">
            <v>Općina Ilidža</v>
          </cell>
          <cell r="G38" t="str">
            <v>Butmirska cesta 12, prvi sprat</v>
          </cell>
          <cell r="H38" t="str">
            <v>https://www.opcinailidza.ba/services/sluzba-za-socijalna-pitanja-zdravstvo-izbjeglice-i-raseljena-lica</v>
          </cell>
          <cell r="I38">
            <v>387733637384</v>
          </cell>
          <cell r="J38" t="str">
            <v>sejda.topalovic@opcinailidza.ba</v>
          </cell>
          <cell r="K38" t="str">
            <v>Pomoć se dodjeljuje kontinuirano posljednjih 10 godina</v>
          </cell>
          <cell r="L38" t="str">
            <v>Dodjela se vrši na osnovu evidencija Službe, a upis u evidenciju  može se izvršti i na način da se dostavi  dokumentacija Službi za socijalna pitanja, zdravstvo, izbjeglice i raseljena lica Općine Ilidža na adresi Butmirska cesta 12, -prvi sprat</v>
          </cell>
          <cell r="M38" t="str">
            <v>CIPS-ova prijava mjesta boravka
Rješenje koje je doneseno u skladu Pravilnikom o utvrđivanju preostale sposobnosti i razvrstavanju djece i omladine ometene u psiho-fizičkom razvoju ("Službene novine Kantona Sarajevo" br. 26/08 i 5/12), odnsono medicinskom dokumentacijom za djecu oboljelu od od karcinoma, šećerne bolesti, leukemije, TBC i celijakije</v>
          </cell>
          <cell r="N38" t="str">
            <v>ZAHTJEV ZA PRIZNAVANJE PRAVA NA JEDNOKRATNU NOVČANU POMOĆ I SUFINANSIRANJE MEDICINSKI POTPOMOGNUTE OPLODNJE.pdf (opcinailidza.ba)</v>
          </cell>
          <cell r="P38" t="str">
            <v>Prava, nasumični postupci</v>
          </cell>
        </row>
        <row r="39">
          <cell r="B39" t="str">
            <v>Jednokratna novčana pomoć za stanovnike starije od 80 godina</v>
          </cell>
          <cell r="C39" t="str">
            <v>Jednokratna novčana pomoć koja se godišnje dodjeljuje svim stanovnicima opštine starijim od 80 godina. Iznos zavisi od raspoloživosti sredstava u budžetu.</v>
          </cell>
          <cell r="D39" t="str">
            <v>Treća životna dob</v>
          </cell>
          <cell r="E39" t="str">
            <v>Elderly</v>
          </cell>
          <cell r="F39" t="str">
            <v>Općina Ilidža</v>
          </cell>
          <cell r="G39" t="str">
            <v>Butmirska cesta 12, prvi sprat</v>
          </cell>
          <cell r="I39">
            <v>387733637384</v>
          </cell>
          <cell r="J39" t="str">
            <v>sejda.topalovic@opcinailidza.ba</v>
          </cell>
          <cell r="K39" t="str">
            <v>Raspodjela na osnovu evidencije mjesnih zajednica</v>
          </cell>
          <cell r="L39" t="str">
            <v>N/a</v>
          </cell>
          <cell r="M39" t="str">
            <v>N/a</v>
          </cell>
          <cell r="N39" t="str">
            <v>N/a</v>
          </cell>
          <cell r="P39" t="str">
            <v>Prava, nasumični postupci</v>
          </cell>
        </row>
        <row r="40">
          <cell r="B40" t="str">
            <v>Jednokratna novčana pomoć za teško bolesne osobe i umjetnu oplodnju</v>
          </cell>
          <cell r="C40" t="str">
            <v>Novčana pomoć za teško oboljela lica sa područja općine Ilidža kojima je potrebno plaćanje troškova liječenja u zemlji i/ili inostranstvu.</v>
          </cell>
          <cell r="D40" t="str">
            <v>Novorođenče; Predškolska dob; Školska dob; Radni vijek; Treća životna dob</v>
          </cell>
          <cell r="E40" t="str">
            <v>Zdravstvena zaštita</v>
          </cell>
          <cell r="F40" t="str">
            <v>Općina Ilidža</v>
          </cell>
          <cell r="G40" t="str">
            <v>Butmirska cesta 12, prvi sprat</v>
          </cell>
          <cell r="H40" t="str">
            <v>ZAHTJEV ZA PRIZNAVANJE PRAVA NA JEDNOKRATNU NOVČANU POMOĆ I SUFINANSIRANJE MEDICINSKI POTPOMOGNUTE OPLODNJE.pdf (opcinailidza.ba)</v>
          </cell>
          <cell r="I40">
            <v>387733637384</v>
          </cell>
          <cell r="J40" t="str">
            <v>sejda.topalovic@opcinailidza.ba</v>
          </cell>
          <cell r="K40" t="str">
            <v>Za rješavanje zahtjeva nadležna je Komisija koju čine ljekari različitih specijalnosti</v>
          </cell>
          <cell r="L40" t="str">
            <v>ZAHTJEV ZA PRIZNAVANJE PRAVA NA JEDNOKRATNU NOVČANU POMOĆ I SUFINANSIRANJE MEDICINSKI POTPOMOGNUTE OPLODNJE.pdf (opcinailidza.ba)</v>
          </cell>
          <cell r="M40" t="str">
            <v>ZAHTJEV ZA PRIZNAVANJE PRAVA NA JEDNOKRATNU NOVČANU POMOĆ I SUFINANSIRANJE MEDICINSKI POTPOMOGNUTE OPLODNJE.pdf (opcinailidza.ba)</v>
          </cell>
          <cell r="N40" t="str">
            <v>ZAHTJEV ZA PRIZNAVANJE PRAVA NA JEDNOKRATNU NOVČANU POMOĆ I SUFINANSIRANJE MEDICINSKI POTPOMOGNUTE OPLODNJE.pdf (opcinailidza.ba)</v>
          </cell>
          <cell r="P40" t="str">
            <v>Prava, nasumični postupci</v>
          </cell>
        </row>
        <row r="41">
          <cell r="B41" t="str">
            <v>Oslobađanje od plaćanja RTV takse za osobe koje su izgubile sluh i vid</v>
          </cell>
          <cell r="C41" t="str">
            <v>Od obaveze plaćanja RTV takse oslobađaju se vlasnici prijemnika koji su trajno izgubili vid ili sluh i žive sami u domaćinstvu ili sa starateljem.</v>
          </cell>
          <cell r="F41" t="str">
            <v>Radio–televizija Bosne i Hercegovine</v>
          </cell>
          <cell r="G41" t="str">
            <v>Bulevar Meše Selimovića 12</v>
          </cell>
          <cell r="L41" t="str">
            <v>Zahtjev za ostvarenje prava podnosi se Radio–televiziji Bosne i Hercegovine u Sarajevu.</v>
          </cell>
          <cell r="M41" t="str">
            <v>Zahtjev
Kopija lične karte
Kućna lista
Dokument o starateljstvu koji izdaje centar za socijalni rad u mjestu prebivališta
Kopiju lične karte;
Kućnu listu;
Dokument o starateljstvu (ako ga imate) koji izdaje centar za socijalni rad u mjestu prebivališta</v>
          </cell>
          <cell r="P41" t="str">
            <v>Prava, nasumični postupci</v>
          </cell>
        </row>
        <row r="42">
          <cell r="B42" t="str">
            <v>Oslobađanje plaćanja  uvoznih dadžbina, carine i PDV-a prilikom uvoza automobila</v>
          </cell>
          <cell r="C42" t="str">
            <v>Osobe s invaliditetom i poteškoćama u razvoju mogu biti oslobođene plaćanja uvoznih dadžbina, odnosno carine i PDV-a, ako planiraju kupiti i uvesti automobil koji će im poslužiti kao ortopedsko ili drugo pomagalo.
Pravo na oslobađanje odnosi se na period od pet godina, što znači nakon uvoza vozila na ovaj način, u narednih pet godina ne mogu na isti način uvesti vozilo. Tek nakon isteka perioda od pet godina mogu ponovo na povlasticu uvesti vozilo. Isto tako, vozilo ne smiju prodati u trajanju od tri godine od dana uvoza, jer ako to urade moraju platiti sve uvozne dažbine.
Invalidna osoba može uvesti putnički automobil do vrijednosti od 30.000 KM ako nije posebno prilagođen za upravljanje invalidnih osoba ili bez ograničenja vrijednosti ako se uvozi putnički automobil posebno prilagođen za prijevoz invalidnih osoba.</v>
          </cell>
          <cell r="D42" t="str">
            <v>Školska dob; Radni vijek; Treća životna dob</v>
          </cell>
          <cell r="E42" t="str">
            <v>Prevoz</v>
          </cell>
          <cell r="F42" t="str">
            <v>MUP Kantona Sarajevo</v>
          </cell>
          <cell r="L42" t="str">
            <v>Zahtjev za oslobadjanje od plaćanja carine podnosi se nadležnoj carinskoj upravi</v>
          </cell>
          <cell r="M42" t="str">
            <v>- nalaz ocjena ili mišljenje o stepenu oštećenja ekstremiteta bitnog za upravljanje vozilom izdatog od strane organa entiteta, BiH i Brčko distrikta BiH,
- dvije fotografije dimenzija 30 s 35 mm,
- lična karta na uvid i
- fotokopija potvrde o vlasništvu nad motornim vozilom.</v>
          </cell>
          <cell r="P42" t="str">
            <v>Prava, nasumični postupci</v>
          </cell>
        </row>
        <row r="43">
          <cell r="B43" t="str">
            <v>Osnovna dijagnostika</v>
          </cell>
          <cell r="C43" t="str">
            <v>Osobe s invaliditetom imaju pravo na besplatnu osnovnu dijagnostiku na KCUS-u i Domovizma zdravlja KS.</v>
          </cell>
          <cell r="D43" t="str">
            <v>Novorođenče; Predškolska dob; Školska dob; Radni vijek; Treća životna dob</v>
          </cell>
          <cell r="E43" t="str">
            <v>Zdravstvena zaštita</v>
          </cell>
          <cell r="F43" t="str">
            <v>Klinički centar Univerziteta u Sarajevu i Domovi zdravlja Kantona Sarajevo</v>
          </cell>
          <cell r="P43" t="str">
            <v>Prava, nasumični postupci</v>
          </cell>
        </row>
        <row r="44">
          <cell r="B44" t="str">
            <v xml:space="preserve">Osnovni paket fiksne telefonije - socijalni </v>
          </cell>
          <cell r="C44" t="str">
            <v>Pravo na Socijalni paket ostvaruju: porodice palog borca, ratni vojni invalidi sa 100% invalidnosti, slijepa lica i kategorije, lica oboljela od distrofije i srodnih bolesti, paraplegičari, oboljeli od dječje ili cerebralne paralize i multiple skleroze i korisnici stalne novčane pomoći, u smislu zakona o osnovama socijalne zaštite, zaštite civilnih žrtava rata i zaštite porodica sa djecom i odgovarajućih kantonalnih pozitivnih propisa u FBiH, kojima se uređuje ova oblast.</v>
          </cell>
          <cell r="D44" t="str">
            <v>Novorođenče; Predškolska dob; Školska dob; Radni vijek; Treća životna dob</v>
          </cell>
          <cell r="F44" t="str">
            <v>BH Telecom</v>
          </cell>
          <cell r="G44" t="str">
            <v>Zmaja od Bosne 88</v>
          </cell>
          <cell r="H44" t="str">
            <v>https://mojwebshop.bhtelecom.ba/INTERSHOP/web/BOS/BHTelecomWebShop-BHTelecom-Site/bs_BA/-/BAM/ViewProduct-Start?SKU=100003</v>
          </cell>
          <cell r="I44">
            <v>38733653093</v>
          </cell>
          <cell r="P44" t="str">
            <v>Prava, nasumični postupci</v>
          </cell>
        </row>
        <row r="45">
          <cell r="B45" t="str">
            <v>Porez na dohodak, umanjenje poreza na zaposlene osobe sa invaliditetom</v>
          </cell>
          <cell r="C45" t="str">
            <v xml:space="preserve">Zaposlene osobe s invaliditetom imaju pravo na osnovni lični odbitak i umanjenje porezne osnovice po osnovu izdražavanja članova uže porodice i /ili po osnovu eventualne invalidnosti tih članova ili samog poreznog obveznika.
Rezidentni porezni obveznici mogu odbiti i lični odbitak: 0,3 osnovnog ličnog odbitka iz stava (1) člana 24 za utvrđenu vlastitu invalidnost, kao i za utvrđenu invalidnost svakog člana uže porodice koje porezni obveznik izdržava. </v>
          </cell>
          <cell r="D45" t="str">
            <v>Novorođenče; Predškolska dob; Školska dob; Radni vijek; Treća životna dob</v>
          </cell>
          <cell r="E45" t="str">
            <v>Poreske olakšice</v>
          </cell>
          <cell r="F45" t="str">
            <v>Poreska uprava Općine</v>
          </cell>
          <cell r="K45" t="str">
            <v>Zakn o porezu na dohodak FBiH</v>
          </cell>
          <cell r="M45" t="str">
            <v>Kopija lične karte
Vjenčani list;
Rodni list;
Dokaz o visini prihoda izdržavanog lica;
Uvjerenje o zajedničkom domaćinstvu;
Rješenje nadležnog organa sa utvrđenim tjelesnim oštećenjem i stepena invaliditeta</v>
          </cell>
          <cell r="P45" t="str">
            <v>Prava, nasumični postupci</v>
          </cell>
        </row>
        <row r="46">
          <cell r="B46" t="str">
            <v xml:space="preserve">Posebna ishrana </v>
          </cell>
          <cell r="D46" t="str">
            <v>Novorođenče; Predškolska dob; Školska dob; Radni vijek; Treća životna dob</v>
          </cell>
          <cell r="F46" t="str">
            <v>Zavod zdravstvenog osiguranja KS</v>
          </cell>
          <cell r="P46" t="str">
            <v>Prava, nasumični postupci</v>
          </cell>
        </row>
        <row r="47">
          <cell r="B47" t="str">
            <v>Povlastice u željezničkom saobraćaju</v>
          </cell>
          <cell r="K47" t="str">
            <v>http://www.sluzbenilist.ba/page/akt/lbKAkKGaEwg=</v>
          </cell>
          <cell r="P47" t="str">
            <v>Prava, nasumični postupci</v>
          </cell>
        </row>
        <row r="48">
          <cell r="B48" t="str">
            <v>Pravo na druge primjerene oblike pomoći djeci u predškolskim ustanovama, redovnim osnovnim i srednjim školama i ustanovama osnovnoškolskog i srednjoškolskog odgoja obrazovanja i rehabilitacije za učenike sa teškoćama (ustanove): 
a.	Program edukacijsko rehabilitacijskih tretmana
b.	Program produženog stručnog postupka
c.	Rehabilitacijski programi</v>
          </cell>
          <cell r="C48" t="str">
            <v>Program edukacijsko-rehabilitacijskih tretmana sastoji se od posebnih defektoloških/edukacijsko-rehabilitacijskih sadržaja koji se različitim postupcima provode u svrhu uspješnijeg usvajanja nastavnih sadržaja kao i za pospješivanje boljeg fukncioniranja.</v>
          </cell>
          <cell r="D48" t="str">
            <v>Školska dob</v>
          </cell>
          <cell r="L48" t="str">
            <v>Nije definisan; Nema upute kako "započeti" proces za roditelja/dijete. Definirano je da ustanova/centar treba da se obrati ministarstvu za dodatnu podršku, ministarstvo rješava zahtjeve (prema obrascu) za 15 dana.</v>
          </cell>
          <cell r="P48" t="str">
            <v>Prava, nasumični postupci</v>
          </cell>
        </row>
        <row r="49">
          <cell r="B49" t="str">
            <v>Pravo na individualni prilagođeni program (IPP) – IPP1 IPP2 IPP3</v>
          </cell>
          <cell r="C49" t="str">
            <v xml:space="preserve">IPP je dokument koji se odnosi na sadržajno i metodičko prilagođavanje u radu s djecom. Uključuje prilagođavanje sadržaja djetetovim mogućnostima. Prilagođenim programom, specifičnim za svakog učenika (prilagođavanje, prvenstevno sposobnostima, mogućnostima i potrebama) utvrđuje se oblik i nivo podrške u oblasti akademskih i vanakademskih znanja i vještina, vrijeme i trajanje podrške, kao i kriteriji, sredstva i metode vrednovanja uspješnosti u učenju i socijalnim i drugim područjima funkcioniranja djeteta. Izrađuje se u situaciji kada je stepen teškoće takav da dijete ne može isti savladati čak ni programom koji traži minimalne programske zahtjeve. </v>
          </cell>
          <cell r="D49" t="str">
            <v>Školska dob</v>
          </cell>
          <cell r="E49" t="str">
            <v>Obrazovanje</v>
          </cell>
          <cell r="F49" t="str">
            <v>Ministarstvo odgoja i obrazovanja</v>
          </cell>
          <cell r="G49" t="str">
            <v xml:space="preserve">Reisa Džemaludina Čauševića 1, 71000 Sarajevo     </v>
          </cell>
          <cell r="H49" t="str">
            <v>https://mo.ks.gov.ba/kontakti</v>
          </cell>
          <cell r="I49">
            <v>38733562128</v>
          </cell>
          <cell r="J49" t="str">
            <v xml:space="preserve">mo@mo.ks.gov.ba </v>
          </cell>
          <cell r="K49" t="str">
            <v>Zakon o osnovnom odgoju i obrazovanju (Službene novine Kantona Sarajevo, 23/2017, 33/2017, 30/2019, 34/2020, 33/2021)
Pravilnik o inkluzivnom obrazovanju (Službene novine Kantona Sarajevo, 32/19)</v>
          </cell>
          <cell r="L49" t="str">
            <v>Nije definisan; Nema upute kako "započeti" proces za roditelja/dijete. Definirano je da ustanova/centar treba da se obrati ministarstvu za dodatnu podršku, ministarstvo rješava zahtjeve (prema obrascu) za 15 dana.</v>
          </cell>
          <cell r="M49" t="str">
            <v>Nije definisano</v>
          </cell>
          <cell r="N49" t="str">
            <v>N/a</v>
          </cell>
          <cell r="P49" t="str">
            <v>Prava, nasumični postupci</v>
          </cell>
        </row>
        <row r="50">
          <cell r="B50" t="str">
            <v>Pravo na pelene</v>
          </cell>
          <cell r="D50" t="str">
            <v>Novorođenče</v>
          </cell>
          <cell r="F50" t="str">
            <v>Zavod zdravstvenog osiguranja KS</v>
          </cell>
          <cell r="P50" t="str">
            <v>Prava, nasumični postupci</v>
          </cell>
        </row>
        <row r="51">
          <cell r="B51" t="str">
            <v>Pružanje oralno-hirurških i stomatoloških usluga za djecu sa poteškoćama u razvoju</v>
          </cell>
          <cell r="C51" t="str">
            <v>Na Stomatološkom fakultetu u Sarajevu djeci s poteškoćama u razvoju pružaju se besplatne oralnohirurške i stomatološke usluge, ako je potrebno i pod općom anestezijom. .</v>
          </cell>
          <cell r="D51" t="str">
            <v>Predškolska dob; Školska dob</v>
          </cell>
          <cell r="E51" t="str">
            <v>Zdravstvena zaštita</v>
          </cell>
          <cell r="F51" t="str">
            <v>Stomatološki fakultet u Sarajevu</v>
          </cell>
          <cell r="G51" t="str">
            <v>Bolnička 4, Sarajevo</v>
          </cell>
          <cell r="H51" t="str">
            <v>https://sf.unsa.ba/pruzanje-oralno-hirurskih-i-stomatoloskih-usluga-za-djecu-sa-poteskocama-u-razvoju/</v>
          </cell>
          <cell r="I51">
            <v>38733214249</v>
          </cell>
          <cell r="M51" t="str">
            <v>https://sf.unsa.ba/pruzanje-oralno-hirurskih-i-stomatoloskih-usluga-za-djecu-sa-poteskocama-u-razvoju/</v>
          </cell>
          <cell r="N51" t="str">
            <v>https://sf.unsa.ba/pruzanje-oralno-hirurskih-i-stomatoloskih-usluga-za-djecu-sa-poteskocama-u-razvoju/</v>
          </cell>
          <cell r="P51" t="str">
            <v>Prava, nasumični postupci</v>
          </cell>
        </row>
        <row r="52">
          <cell r="B52" t="str">
            <v>Subvencija  za djecu istih roditelja - oslobađanje plaćanja vrtića za braću i sestre djeteta sa poteškoćama u razvoju</v>
          </cell>
          <cell r="C52" t="str">
            <v>Djeca koja su braća/sestre djeteta sa poteškoćama u razvoju imaju pravo na subvenciju troškova vrtića.</v>
          </cell>
          <cell r="D52" t="str">
            <v>Predškolska dob;</v>
          </cell>
          <cell r="E52" t="str">
            <v>Obrazovanje</v>
          </cell>
          <cell r="F52" t="str">
            <v>Općinski nivo</v>
          </cell>
          <cell r="P52" t="str">
            <v>Prava, nasumični postupci</v>
          </cell>
        </row>
        <row r="53">
          <cell r="B53" t="str">
            <v>Ugradnja inzulinske pumpice</v>
          </cell>
          <cell r="C53" t="str">
            <v xml:space="preserve">Osigurana lica - djeca do 18 godina, inzuloovisnici, na prijedlog tima za inzulinske pumpe pedijatrijske klinike, a uz odobrenje komisije Zavoda, mogu ostvariti pravo na inzulinsku pumpu. Uz inzulinsku pumpu obezbješuje se potrošni materijal: </v>
          </cell>
          <cell r="D53" t="str">
            <v>Novorođenče; Predškolska dob; Školska dob</v>
          </cell>
          <cell r="E53" t="str">
            <v>Zdravstvena zaštita</v>
          </cell>
          <cell r="F53" t="str">
            <v>Zavod zdravstvenog osiguranja KS</v>
          </cell>
          <cell r="K53" t="str">
            <v>Uredba o obimu, uvjetima i načiu ostvarivanja prava osiguranih lica na korištenje ortopedskih i drugih pomagala, endoproteza, stomatološko protetske pomoći i stomatološko - protetskih nadomjestaka
https://www.kzzosa.ba/wp-content/uploads/2023/08/Odluka_o_visini_ucesca_ZZO_KS_u_cijeni_medicinskih_sredstava-1.pdf</v>
          </cell>
          <cell r="P53" t="str">
            <v>Prava, nasumični postupci</v>
          </cell>
        </row>
        <row r="54">
          <cell r="B54" t="str">
            <v>Uvećani dječiji doplatak</v>
          </cell>
          <cell r="C54" t="str">
            <v>Ako je neki član porodice lice sa invaliditetom, djeca imaju pravo na uvećani dječiji dodatak. Zakonom nije predviđen imovinski cenzus. 
Obratiti se nadležnoj službi u općini stanovanja, popuniti zahtjev i priložiti tražene dokumente.</v>
          </cell>
          <cell r="D54" t="str">
            <v>Novorođenče; Predškolska dob; Školska dob</v>
          </cell>
          <cell r="E54" t="str">
            <v>Socijalna zaštita</v>
          </cell>
          <cell r="F54" t="str">
            <v>Općine</v>
          </cell>
          <cell r="P54" t="str">
            <v>Prava, nasumični postupci</v>
          </cell>
        </row>
      </sheetData>
      <sheetData sheetId="18">
        <row r="1">
          <cell r="E1" t="str">
            <v>Novorođenče</v>
          </cell>
        </row>
        <row r="2">
          <cell r="E2" t="str">
            <v>Ambulanta "Sve na jednom mjestu" za djecu i osobe s poteškoćama u razvoju</v>
          </cell>
        </row>
        <row r="3">
          <cell r="E3" t="str">
            <v>Dodatak za njegu i pomoć od strane drugog lica, Civilne žrtve rata</v>
          </cell>
        </row>
        <row r="4">
          <cell r="E4" t="str">
            <v>Jednokratna novčana pomoć licima i domaćinstvima sa područja općine Novo Sarajevo</v>
          </cell>
        </row>
        <row r="5">
          <cell r="E5" t="str">
            <v>Jednokratna novčana pomoć za invalidna lica</v>
          </cell>
        </row>
        <row r="6">
          <cell r="E6" t="str">
            <v>Jednokratna novčana pomoć za teško bolesne osobe i umjetnu oplodnju</v>
          </cell>
        </row>
        <row r="7">
          <cell r="E7" t="str">
            <v>Kupovina lijekova po posebnim protokolima</v>
          </cell>
        </row>
        <row r="8">
          <cell r="E8" t="str">
            <v>Medicinska rehabilitacija/banjsko liječenje kao produženo bolničko liječenje</v>
          </cell>
        </row>
        <row r="9">
          <cell r="E9" t="str">
            <v>Medicinska sredstva - ortopedska pomagala</v>
          </cell>
        </row>
        <row r="10">
          <cell r="E10" t="str">
            <v>Ocjenjivanje sposobnosti, razvrstavanje djece i omladine ometene u psiho-fizičkom razvoju</v>
          </cell>
        </row>
        <row r="11">
          <cell r="E11" t="str">
            <v>Osnovna dijagnostika</v>
          </cell>
        </row>
        <row r="12">
          <cell r="E12" t="str">
            <v xml:space="preserve">Osnovni paket fiksne telefonije - socijalni </v>
          </cell>
        </row>
        <row r="13">
          <cell r="E13" t="str">
            <v>Porez na dohodak, umanjenje poreza na zaposlene osobe sa invaliditetom</v>
          </cell>
        </row>
        <row r="14">
          <cell r="E14" t="str">
            <v xml:space="preserve">Posebna ishrana </v>
          </cell>
        </row>
        <row r="15">
          <cell r="E15" t="str">
            <v>Pravo na kućnu njegu</v>
          </cell>
        </row>
        <row r="16">
          <cell r="E16" t="str">
            <v>Pravo na ličnu invalidninu, dodatak za njegu i pomoć drugog lica i ortopedski dodatak</v>
          </cell>
        </row>
        <row r="17">
          <cell r="E17" t="str">
            <v>Pravo na pelene</v>
          </cell>
        </row>
        <row r="18">
          <cell r="E18" t="str">
            <v>Pravo na penziju</v>
          </cell>
        </row>
        <row r="19">
          <cell r="E19" t="str">
            <v>Pravo na stalnu novčanu pomoć</v>
          </cell>
        </row>
        <row r="20">
          <cell r="E20" t="str">
            <v>Pravo na zdravstvenu zaštitu</v>
          </cell>
        </row>
        <row r="21">
          <cell r="E21" t="str">
            <v>Pravo roditelja njegovatelja na osiguranje</v>
          </cell>
        </row>
        <row r="22">
          <cell r="E22" t="str">
            <v>Pravo roditelja njegovatelja na pokrivanje troškova sahrane/dženaze</v>
          </cell>
        </row>
        <row r="23">
          <cell r="E23" t="str">
            <v>Prednost u primanju usluga u zdravstvenom i drugim institucijama</v>
          </cell>
        </row>
        <row r="24">
          <cell r="E24" t="str">
            <v>Priznavanje statusa roditelja njegovatelja</v>
          </cell>
        </row>
        <row r="25">
          <cell r="E25" t="str">
            <v>Refundacija troškova lijekova i liječenja</v>
          </cell>
        </row>
        <row r="26">
          <cell r="E26" t="str">
            <v>Smještaj u hospis</v>
          </cell>
        </row>
        <row r="27">
          <cell r="E27" t="str">
            <v>Smještaj u ustanovu, njega, rehabilitacija i socijalna zaštita – Dom za djecu bez roditeljskog staranja</v>
          </cell>
        </row>
        <row r="28">
          <cell r="E28" t="str">
            <v>Ugradnja inzulinske pumpice</v>
          </cell>
        </row>
        <row r="29">
          <cell r="E29" t="str">
            <v>Usluge centara za prevenciju</v>
          </cell>
        </row>
        <row r="30">
          <cell r="E30" t="str">
            <v>Uvećani dječiji doplatak</v>
          </cell>
        </row>
      </sheetData>
      <sheetData sheetId="19" refreshError="1"/>
    </sheetDataSet>
  </externalBook>
</externalLink>
</file>

<file path=xl/persons/person.xml><?xml version="1.0" encoding="utf-8"?>
<personList xmlns="http://schemas.microsoft.com/office/spreadsheetml/2018/threadedcomments" xmlns:x="http://schemas.openxmlformats.org/spreadsheetml/2006/main">
  <person displayName="Amra Kapo" id="{FE1FD6E1-A811-4748-8FA2-0CB75D7C2C7E}" userId="55206a9b6e884185" providerId="Windows Live"/>
  <person displayName="Lejla Turulja" id="{4F443A0E-C9E6-48AD-9C00-9AB97078B107}" userId="a1dd4d4befcab82f"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221.724029282406" createdVersion="8" refreshedVersion="8" minRefreshableVersion="3" recordCount="174" xr:uid="{C867F4E1-5379-45CA-95C0-A95CB6E65AA1}">
  <cacheSource type="worksheet">
    <worksheetSource ref="A1:P175" sheet="All (2)"/>
  </cacheSource>
  <cacheFields count="16">
    <cacheField name="#" numFmtId="0">
      <sharedItems containsSemiMixedTypes="0" containsString="0" containsNumber="1" containsInteger="1" minValue="1" maxValue="60"/>
    </cacheField>
    <cacheField name="Naziv " numFmtId="0">
      <sharedItems count="60" longText="1">
        <s v="Refundacija troškova lijekova i liječenja"/>
        <s v="Pravo na pelene"/>
        <s v="Dodatak za njegu i pomoć od strane drugog lica, Civilne žrtve rata"/>
        <s v="Ocjenjivanje sposobnosti, razvrstavanje djece i omladine ometene u psiho-fizičkom razvoju"/>
        <s v="Smještaj u ustanovu, njega, rehabilitacija i socijalna zaštita – Dom za djecu bez roditeljskog staranja"/>
        <s v="Jednokratna novčana pomoć licima i domaćinstvima sa područja općine Novo Sarajevo"/>
        <s v="Kupovina lijekova po posebnim protokolima"/>
        <s v="Medicinska rehabilitacija/banjsko liječenje kao produženo bolničko liječenje"/>
        <s v="Medicinska sredstva - ortopedska pomagala"/>
        <s v="Pravo na ličnu invalidninu, dodatak za njegu i pomoć drugog lica i ortopedski dodatak"/>
        <s v="Pravo na stalnu novčanu pomoć"/>
        <s v="Pravo na zdravstvenu zaštitu"/>
        <s v="Priznavanje statusa roditelja njegovatelja"/>
        <s v="Usluge centara za prevenciju"/>
        <s v="Ugradnja inzulinske pumpice"/>
        <s v="Uvećani dječiji doplatak"/>
        <s v="Pravo na penziju"/>
        <s v="Ambulanta &quot;Sve na jednom mjestu&quot; za djecu i osobe s poteškoćama u razvoju"/>
        <s v="Jednokratna novčana pomoć za invalidna lica"/>
        <s v="Jednokratna novčana pomoć za teško bolesne osobe i umjetnu oplodnju"/>
        <s v="Osnovna dijagnostika"/>
        <s v="Osnovni paket fiksne telefonije - socijalni "/>
        <s v="Porez na dohodak, umanjenje poreza na zaposlene osobe sa invaliditetom"/>
        <s v="Posebna ishrana "/>
        <s v="Pravo na kućnu njegu"/>
        <s v="Pravo roditelja njegovatelja na osiguranje"/>
        <s v="Pravo roditelja njegovatelja na pokrivanje troškova sahrane/dženaze"/>
        <s v="Prednost u primanju usluga u zdravstvenom i drugim institucijama"/>
        <s v="Novčana pomoć i upućivanje na dijagnostiku i liječenje djece"/>
        <s v="Novčana pomoć za nabavku GPS narukvica"/>
        <s v="Sufinansiranje troškova prijevoza djece sa poteškoćama u kretanju"/>
        <s v="Subvencija  za djecu istih roditelja - oslobađanje plaćanja vrtića za braću i sestre djeteta sa poteškoćama u razvoju"/>
        <s v="Pružanje oralno-hirurških i stomatoloških usluga za djecu sa poteškoćama u razvoju"/>
        <s v="Pravo na novčanu naknadu za vrijeme čekanja na zaposlenje"/>
        <s v="Pravo na poslovnu rehabilitaciju"/>
        <s v="Pravo na skraćeno radno vrijeme, zaštita od prekovremenog rada i rada noću, kao i zaštita od promjene mjesta rada"/>
        <s v="Pravo na zapošljavanje: povlaštena prava pri zapošljavanju u javnom sektoru"/>
        <s v="Izdavanje međunarodnog znaka pristupačnosti"/>
        <s v="Medicinsko - sanitetski materijal za RVI sa područja Kantona Sarajevo"/>
        <s v="Osposobljavanje za samostalan život i rad kroz srednje obrazovanje"/>
        <s v="Asistent u nastavi"/>
        <s v="Pravo na druge primjerene oblike pomoći djeci u predškolskim ustanovama, redovnim osnovnim i srednjim školama i ustanovama osnovnoškolskog i srednjoškolskog odgoja obrazovanja i rehabilitacije za učenike sa teškoćama (ustanove): _x000a_a._x0009_Program edukacijsko rehabilitacijskih tretmana_x000a_b._x0009_Program produženog stručnog postupka_x000a_c._x0009_Rehabilitacijski programi"/>
        <s v="Pravo na individualni prilagođeni program (IPP) – IPP1 IPP2 IPP3"/>
        <s v="Pravo na dnevni boravak u posebnim ustanovama ili smještaj u domovima toko obrazovanja. Potpuno pokrića troškova dnevnog boravka od strane Centra"/>
        <s v="Pravo na produženo obrazovanje"/>
        <s v="Pravo na srednje obrazovanje u redovnim ili specijalnim školama "/>
        <s v="Oslobađanje plaćanja  uvoznih dadžbina, carine i PDV-a prilikom uvoza automobila"/>
        <s v="Usluga dnevnog ili poludnevnog boravka u Centar za dnevni boravak – Gerontološki centar"/>
        <s v="Usluga kućne njege i pomoći u kući od strane osoblja Gerontološkog centra"/>
        <s v="Kupovina lijekova penzionerima i licima preko 60 godina starosti bez primanja"/>
        <s v="Pravo na novčanu naknadu za pomoć i njegu od strane druge osobe (lica iznad 65 godina života)"/>
        <s v="Smještaj u Gerontološki centar – Privatni ugovori potpisani sa fizičkim licima"/>
        <s v="Smještaj u ustanovu, njega, rehabilitacija i socijalna zaštita – Gerontološki centar"/>
        <s v="Stalna novčana pomoć za kupovinu hljeba i mlijeka lica starija od 60 godina bez primanja"/>
        <s v="Stalna novčana pomoć za kupovinu hljeba i mlijeka penzioneri sa minimalnom penzijom"/>
        <s v="Zdravstvena zaštita starijih od 65 godina"/>
        <s v="Jednokratna novčana pomoć za stanovnike starije od 80 godina"/>
        <s v="Smještaj u hospis"/>
        <s v="Oslobađanje od plaćanja RTV takse za osobe koje su izgubile sluh i vid"/>
        <s v="Povlastice u željezničkom saobraćaju"/>
      </sharedItems>
    </cacheField>
    <cacheField name="Opis" numFmtId="0">
      <sharedItems containsBlank="1" count="57" longText="1">
        <s v="Pravo na refundiranje troškova lijekova, medicinskih sredstava i liječenja koji nisu obuhvaćeni obaveznim zdravstvenim osiguranjem (odobravanje sredstava do 20.000KM)"/>
        <m/>
        <s v="Pravo na dodatak za pomoć i njegu od strane druge osobe invalidima od I do IV grupe koji su nesposobni za vršenje osnovnih životnih potreba bez pomoći drugog lica."/>
        <s v="Utvrđivanja preostale sposobnosti i razvrstavanja djece i omladine, vodi se do navršene 18. godine života djeteta."/>
        <s v="Cjelokupno zbrinjavanje, odgoj, školovanje, zdravstvena zaštita djece bez roditelja i djece čiji je razvoj ometen porodičnim prilikama."/>
        <s v="Jednokratna novčana pomoć licima i domaćinstvima sa područja općine Novo Sarajevo samo za osobe za prebivalištem u Općini Novo Sarajevo"/>
        <s v="Pravo na liječenje rijetkih i teških oboljenja po posebnim protokolima (reumatoidini artritis, juvenilni idiopatski artritis, enteralna prehrana, bezglutensko brašno za oboljele od celijaklije)"/>
        <s v="Pravo na medicinsku rehabilitaciju u ugovornim banjama"/>
        <s v="Pravo na medicinska sredstva/ortopedska pomagala za osiguranike u Kantonu Sarajevo"/>
        <s v="Licima sa invaliditetom i grupe sa 100% tjelesnog oštećenja i licima sa invaliditetom II grupe sa 90% tjelesnog oštećenja, omogućiti ostvarivanje prava na ličnu invalidninu, dodatak za njegu i pomoć od strane drugog lica i ortopedski dodatak."/>
        <s v="Ostvarivanje prava na materijalnu pomoć licima nesposobnim za rad, bez sredstava za život i srodnika koji su po Zakonu obavezni na izdržavanje."/>
        <s v="Ostvarivanje prava od strane lica-korisnika stalne novčane pomoći i lica sa invaliditetom pravo na zdravstvenu zaštitu ( pod uslovom da ga ne mogu ostvariti po drugom osnovu)."/>
        <s v="Priznavanje statusa roditelja njegovatelja"/>
        <s v="Logopedi, defektolozi"/>
        <s v="Osigurana lica - djeca do 18 godina, inzuloovisnici, na prijedlog tima za inzulinske pumpe pedijatrijske klinike, a uz odobrenje komisije Zavoda, mogu ostvariti pravo na inzulinsku pumpu. Uz inzulinsku pumpu obezbješuje se potrošni materijal: "/>
        <s v="Ako je neki član porodice lice sa invaliditetom, djeca imaju pravo na uvećani dječiji dodatak. Zakonom nije predviđen imovinski cenzus. _x000a_Obratiti se nadležnoj službi u općini stanovanja, popuniti zahtjev i priložiti tražene dokumente."/>
        <s v="Osoba sa teškoćama u razvoju (nesposobnost za samostalan život, nesposobnost za privređivanje) ima pravo na penziju roditelja."/>
        <s v="Dodatna ambulanta nije namijenjena za prehlade, upale grla i sl. Nego, ukoliko dijete ili osoba sa teškoćama u razvoju treba istovremeno preglede, odnosno nalaze, kao što su vađenje krvi, EKG, RTG pluća, pedijatrijski pregled ili mišljenje anesteziologa."/>
        <s v="Općina Ilidža: Općinski načelnik dodjeljuje jednokratnu novčanu pomoć osobama sa invaliditetom sa posebnim potrebama koje su u socijalnoj potrebi."/>
        <s v="Novčana pomoć za teško oboljela lica sa područja općine Ilidža kojima je potrebno plaćanje troškova liječenja u zemlji i/ili inostranstvu."/>
        <s v="Osobe s invaliditetom imaju pravo na besplatnu osnovnu dijagnostiku na KCUS-u i Domovizma zdravlja KS."/>
        <s v="Pravo na Socijalni paket ostvaruju: porodice palog borca, ratni vojni invalidi sa 100% invalidnosti, slijepa lica i kategorije, lica oboljela od distrofije i srodnih bolesti, paraplegičari, oboljeli od dječje ili cerebralne paralize i multiple skleroze i korisnici stalne novčane pomoći, u smislu zakona o osnovama socijalne zaštite, zaštite civilnih žrtava rata i zaštite porodica sa djecom i odgovarajućih kantonalnih pozitivnih propisa u FBiH, kojima se uređuje ova oblast."/>
        <s v="Zaposlene osobe s invaliditetom imaju pravo na osnovni lični odbitak i umanjenje porezne osnovice po osnovu izdražavanja članova uže porodice i /ili po osnovu eventualne invalidnosti tih članova ili samog poreznog obveznika._x000a_Rezidentni porezni obveznici mogu odbiti i lični odbitak: 0,3 osnovnog ličnog odbitka iz stava (1) člana 24 za utvrđenu vlastitu invalidnost, kao i za utvrđenu invalidnost svakog člana uže porodice koje porezni obveznik izdržava. "/>
        <s v="Osoba može dobiti pomoć i njegu u kući ako ispunjava sljedeće uvjete:_x000a__x000a_- Nije već dobila novčanu naknadu za pomoć i njegu od drugog._x000a_- Nema mogućnost da pomoć i njegu osiguraju roditelji, bračni partner ili djeca._x000a_- Nema mogućnost osiguranja pomoći i njege putem ugovora o doživotnom izdržavanju._x000a_- Prihod njezina kućanstva ne prelazi 30% prosječne plaće."/>
        <s v="Roditelji staratelji imaju isti status osiguranja kao i zaposleni pojedinci."/>
        <s v="Roditelji staratelji dobijaju troškove sahrane za preminulu osobu sa invaliditetom, slično kao i federalni službenici._x000a_Roditelju lica s invaliditetom može se priznati status roditelja njegovatelja ukoliko je nazaposlen i prijavljen na evidenciji nadležne službe za zapošljavanje._x000a_Status roditelja njegovatelja priznaje se jednom od roditelja lica s invaliditetom sa 100% oštećenjem organizma i pravom na dodatak za njegu i pomoć od drugog lica."/>
        <s v="Pravo na liječenje/dijagnostiku na teret ZZO KS, odnosno refundaciju troškova liječenja/dijagnostike izvan Kantona Sarajevo (odobravanje sredstava do 60.000KM)"/>
        <s v="Pravo na dodjelu novčane pomoći ostvaruju djeca/osobe sa poteškoćama u razvoju/invaliditetom, težim i teškim intelektualnim poteškoćama sa područja Općine Novi Grad Sarajevo, na osnovu dostavljene medicinske dokumentacije koju daje izabrani doktor/specijalista, na osnovu koje je utvrđena potreba za medicinskim pomagalom, kao i druga dokumetacija kojom se dokazuje potreba za korištenje istog."/>
        <s v="Općina Ilidža sufinansira prijevoz djece s poteškoćama u kretanju. Trenutni korisnici ovog vida podrške su učenici i njihovi pratioci koji pohađaju Centar za odgoj, obrazovanje i rehabilitaciju &quot;Vladimir Nazor&quot;, Centar za slušnu i govornu rehabilitaciju, Centar za slijepu i slabovidnu djecu i omladinu, Škola za srednje stručno obrazovanje i radno osposobljavanje i Zavod za specijalno obrazovanje i odgoj djece &quot;Mjedenica&quot;. "/>
        <s v="Djeca koja su braća/sestre djeteta sa poteškoćama u razvoju imaju pravo na subvenciju troškova vrtića."/>
        <s v="Na Stomatološkom fakultetu u Sarajevu djeci s poteškoćama u razvoju pružaju se besplatne oralnohirurške i stomatološke usluge, ako je potrebno i pod općom anestezijom. ."/>
        <s v="Obezbijediti novčana sredstva osobama ometenim u psihičkom i fizičkom razvoju, koje su osposobljenje za rad, a koje čekaju na zaposlenje, pod uvjetom da se redovno javljaju Službi za zapošljavanje Kantona Sarajevo."/>
        <s v="Osobe sa 60 % i više invaliditeta da imaju pravo na finansiranje /sufinansiranje troškova profesionalne rehabilitacije kroz vanredno srednje školovanje, visoko stručno obrazovanje ili postdiplomsko studiranje."/>
        <s v="Roditelji djeteta s težim smetnjama u razvoju imaju pravo na rad polovine punog radnog vremena uz naknadu plaće, te su zaštićeni od rada noću, prekovremeno i promjene mjesta rada bez svojeg pisanog pristanka kako bi se omogućila bolja briga i podrška djetetu."/>
        <s v="Osobe sa invaliditetom imaju pravo na zapošljavanje i rad na tržištu rada pod opštim i posebnim uslovima. Pod opštim uslovima, OSI se mogu zaposliti u različitim subjektima javnog i privatnog sektora. U javnom sektoru osobe sa invaliditetom imaju povlaštena prava pri zapošljavanju ako ispunjavaju i opšte i posebne uslove za posao"/>
        <s v="Izdaje se znak pristupačnosti u svrhu obilježavanja vozila kojim upravlja osoba sa oštećenim ekstremitetima u prometu da bi takvo vozilo imalo prednost pri parkiranju."/>
        <s v="Ostvarivanje prava RVI-a na medicinsko - sanitetski materijal."/>
        <s v="Djeca ometena u fizičkom ili psihičkom razvoju sa navršenih 15 godina, odnosno 18 godina života, ostvaruju pravo na školovanje i osposobljavanje za samostalni život i rad kroz redovne srednje škole ili srednje škole specijalnog tipa koje mogu imati internatski smještaj."/>
        <s v="Općina Centar sufinansira: Naknade troškova prijevoza učenika/ca s invaliditetom koji za potrebe odlaska i povratka na nastavni proces koriste javni linijski saobraćaj (mjesečni kupon za učenika/ca i pratioca)_x000a_ Naknade troškova prijevoza učenika/ca s invaliditetom koji za potrebe odlaska i povratka na nastavni proces koriste putnički automobil"/>
        <s v="Općina Novi Grad Sarajevo sufinansira, kroz službu za obrazovanje, kulturu i sport.."/>
        <s v="Asistenti u nastavi se uvode sa ciljem da, u skladu sa potrebama djece, pruže pomoć i podršku inkluzivnom obrazovanju. Predstavljaju pomoć odgajatelju/nastavniku i stručnim saradnjicima u cilju unapređenja njihovog rada sa dijecom. IPP definira potrebu za asistentima u nastavi. Obuku, akreditaciju asistenata i nadzor nad radom asistenata vrši Prosvjetno-pedagoški zavod, u skladu sa propisom koji donosi ministar."/>
        <s v="Program edukacijsko-rehabilitacijskih tretmana sastoji se od posebnih defektoloških/edukacijsko-rehabilitacijskih sadržaja koji se različitim postupcima provode u svrhu uspješnijeg usvajanja nastavnih sadržaja kao i za pospješivanje boljeg fukncioniranja."/>
        <s v="IPP je dokument koji se odnosi na sadržajno i metodičko prilagođavanje u radu s djecom. Uključuje prilagođavanje sadržaja djetetovim mogućnostima. Prilagođenim programom, specifičnim za svakog učenika (prilagođavanje, prvenstevno sposobnostima, mogućnostima i potrebama) utvrđuje se oblik i nivo podrške u oblasti akademskih i vanakademskih znanja i vještina, vrijeme i trajanje podrške, kao i kriteriji, sredstva i metode vrednovanja uspješnosti u učenju i socijalnim i drugim područjima funkcioniranja djeteta. Izrađuje se u situaciji kada je stepen teškoće takav da dijete ne može isti savladati čak ni programom koji traži minimalne programske zahtjeve. "/>
        <s v="Djeca i odrasle osobe koji su uključeni u specijalno školovanje imaju pravo na dnevni boravak u posebnim ustanovama ili smještaj u internatskim ustanovama ako to preporuči Stručna komisija ili Stručna institucija."/>
        <s v="Pravo na produženo obrazovanje za djecu do 18 godina ako zbog invaliditeta nisu mogla završiti osnovno obrazovanje."/>
        <s v="Pravo na školovanje i osposobljavanje za život i rad osigurava se djetetu do njegovih 26. godina života. Ako je pravo već ranije uspostavljeno, može trajati i nakon 26. godine života, ali najkasnije do 29. godine života."/>
        <s v="Osobe s invaliditetom i poteškoćama u razvoju mogu biti oslobođene plaćanja uvoznih dadžbina, odnosno carine i PDV-a, ako planiraju kupiti i uvesti automobil koji će im poslužiti kao ortopedsko ili drugo pomagalo._x000a_Pravo na oslobađanje odnosi se na period od pet godina, što znači nakon uvoza vozila na ovaj način, u narednih pet godina ne mogu na isti način uvesti vozilo. Tek nakon isteka perioda od pet godina mogu ponovo na povlasticu uvesti vozilo. Isto tako, vozilo ne smiju prodati u trajanju od tri godine od dana uvoza, jer ako to urade moraju platiti sve uvozne dažbine._x000a_Invalidna osoba može uvesti putnički automobil do vrijednosti od 30.000 KM ako nije posebno prilagođen za upravljanje invalidnih osoba ili bez ograničenja vrijednosti ako se uvozi putnički automobil posebno prilagođen za prijevoz invalidnih osoba."/>
        <s v="Centar za dnevni boravak pruža starim i drugim punoljetnim osobama usluge dnevnog ili poludnevnog boravka, ishranu, stručnu pomoć, servisne usluge, održavanje higijene, organizaciju slobodnog vremena, organizovan odmor i rekreaciju, kulturno-zabavni život i druge aktivnosti."/>
        <s v="Zdravstvena njega polupokretnih i nepokretnih starih, iznemoglih, bolesnih i invalidnih osoba, koje ne zahtijevaju bolnički tretman ili je isti završen i kod kojih se svrha pružanja odgovarajuće pomoći može ostvariti u njihovoj kući. Pomoć u kući obuhvata različite usluge, kojima se pruža pomoć starijim osobama u njihovim domovima i olakšava život u starosti. Ove usluge podrazumijevaju pomoć u domaćinstvu u smislu održavanja higijene prostora u kome korisnik živi, usluge higijene ličnog i posteljnog rublja, pomoć u ishrani dostavom obroka hrane na adresu korisnika, pomoć u nabavci namirnica i lijekova, usluge raznih kućnih opravki i druge neophodne usluge."/>
        <s v="Samo za osobe za prebivalištem u Općini Centar, Sarajevo"/>
        <s v="Ostvarivanje prava na novčanu naknadu za pomoć i njegu od strane druge osobe licima starijim od 65.godina, kojima je zbog trajnih promjena u zdravstvenom stanju prijeko potrebna pomoć i njega od strane druge osobe za zadovoljavanje njihovih osnovnih životnih potreba. Ovim postupkom se obezbjeđuje sredstava kojima finansiraju troškove angažovanja druge osobe, te se realizira u suradnji sa nadležnim općinama"/>
        <s v="Osoba može ostvariti smještaj u Gerontološkom centru na osnovu podnesenog zahtjeva za smještaj i ugovora o smještaju zaključenog sa Gerontološkim centrom, ako ispunjava uslove propisane Pravilnikom o načinu prijema i otpustu korisnika usluga Kantonalne javne ustanove „Gerontološki centar“."/>
        <s v="O smještaju u ustanovu KJU ”Gerontološki centar” odlučuje se rješenjem Centra (služba socijalne zaštite na čijem području lice ima prebivalište), na osnovu mišljenja Stručnog tima Centra, nalaza i mišljenja odgovarajuće zdravstvene ustanove."/>
        <s v="Zdravstvena zaštita osoba starijih od 65 godina života, pod uslovom da nemaju zdravstveno osiguranje po drugom osnovu. Plaćanje neposrednog učešća u troškovima zdravstvene zaštite starijih od 65 godina života vršit će MRSRI KS, pod uslovom da nisu zdravstveno osigurani po drugom osnovu."/>
        <s v="Jednokratna novčana pomoć koja se godišnje dodjeljuje svim stanovnicima opštine starijim od 80 godina. Iznos zavisi od raspoloživosti sredstava u budžetu."/>
        <s v="Zbrinjavanje teško oboljelih u zdravstveno-socijalnoj ustanovi"/>
        <s v="Od obaveze plaćanja RTV takse oslobađaju se vlasnici prijemnika koji su trajno izgubili vid ili sluh i žive sami u domaćinstvu ili sa starateljem."/>
      </sharedItems>
    </cacheField>
    <cacheField name="Životna dob" numFmtId="0">
      <sharedItems count="5">
        <s v="Novorođenče"/>
        <s v="Predškolska dob"/>
        <s v="Školska dob"/>
        <s v="Radni vijek"/>
        <s v="Treća životna dob"/>
      </sharedItems>
    </cacheField>
    <cacheField name="Tip usluge/prava/benefita" numFmtId="0">
      <sharedItems containsBlank="1" count="12">
        <s v="Zdravstvena zaštita"/>
        <s v="Zaštita civilnih žrtava rata"/>
        <s v="Socijalna zaštita"/>
        <s v="Kultura i sport"/>
        <s v="Poreske olakšice"/>
        <s v="Rad i zapošljavanje"/>
        <s v="Obrazovanje"/>
        <s v="Prevoz"/>
        <s v="Kultura i spor"/>
        <s v="Prevoz i kretanje"/>
        <m u="1"/>
        <s v="Socijalna zaštita za PwD" u="1"/>
      </sharedItems>
    </cacheField>
    <cacheField name="Ministartvo/Organizacija" numFmtId="0">
      <sharedItems containsBlank="1" count="26">
        <s v="Zavod zdravstvenog osiguranja Kantona Sarajevo"/>
        <s v="Zavod zdravstvenog osiguranja KS"/>
        <s v="•_x0009_Općina, nadležna općinska služba_x000a_•_x0009_Ministarstvo za rad, socijalnu politiku, raseljena lica i izbjeglice Kantona Sarajevo_x000a_"/>
        <s v="Kantonalni centar za socijalni rad"/>
        <s v="•_x0009_Kantonalna javna ustanova Dom za djecu bez roditeljskog staranja_x000a_•_x0009_Javna ustanova “Kantonalni centar za socijalni rad” – službe socijalne zaštite_x000a_•_x0009_Ministarstvo za rad, socijalnu politiku, raseljena lica i izbjeglice Kantona Sarajevo"/>
        <s v="Općina Novo Sarajevo"/>
        <s v="Zavod zdravstvenog osiguranja Kantona Sarajevo/zdravstvene ustanove"/>
        <m/>
        <s v="Općine"/>
        <s v="Opća bolnica &quot;Prim.dr. Abdulah Nakaš&quot;"/>
        <s v="Općina Ilidža"/>
        <s v="Klinički centar Univerziteta u Sarajevu i Domovi zdravlja Kantona Sarajevo"/>
        <s v="BH Telecom"/>
        <s v="Poreska uprava Općine"/>
        <s v="Općina Novi Grad Sarajevo"/>
        <s v="Općinski nivo"/>
        <s v="Stomatološki fakultet u Sarajevu"/>
        <s v="Fond za profesionalnu rehabilitaciju"/>
        <s v="Ministarstvo unutrašnjih poslova›Uprava za građanska stanja i pravne poslove"/>
        <s v="Ministarstvo zdravstva KS"/>
        <s v="Općina Centar"/>
        <s v="Ministarstvo odgoja i obrazovanja"/>
        <s v="MUP Kantona Sarajevo"/>
        <s v="KJU “Gerontološki centar” putem JU Kantonalni centar za socijalni rad."/>
        <s v="Zavod zdravstveno osiguranja Kantona Sarajevo"/>
        <s v="Radio–televizija Bosne i Hercegovine"/>
      </sharedItems>
    </cacheField>
    <cacheField name="Adresa" numFmtId="0">
      <sharedItems containsBlank="1"/>
    </cacheField>
    <cacheField name="Web stranica" numFmtId="0">
      <sharedItems containsBlank="1"/>
    </cacheField>
    <cacheField name="Telefon" numFmtId="0">
      <sharedItems containsBlank="1" containsMixedTypes="1" containsNumber="1" containsInteger="1" minValue="38733209044" maxValue="387733637384"/>
    </cacheField>
    <cacheField name="Email" numFmtId="0">
      <sharedItems containsBlank="1"/>
    </cacheField>
    <cacheField name="Pravni osnov" numFmtId="0">
      <sharedItems containsBlank="1" longText="1"/>
    </cacheField>
    <cacheField name="Proces aplikacije" numFmtId="0">
      <sharedItems containsBlank="1" longText="1"/>
    </cacheField>
    <cacheField name="Lista neophodnih dokumenata" numFmtId="0">
      <sharedItems containsBlank="1" longText="1"/>
    </cacheField>
    <cacheField name="Link za informacije o prijavi" numFmtId="0">
      <sharedItems containsBlank="1" longText="1"/>
    </cacheField>
    <cacheField name="Dodatne napomene" numFmtId="0">
      <sharedItems containsBlank="1" longText="1"/>
    </cacheField>
    <cacheField name="Pravo" numFmtId="0">
      <sharedItems/>
    </cacheField>
  </cacheFields>
  <extLst>
    <ext xmlns:x14="http://schemas.microsoft.com/office/spreadsheetml/2009/9/main" uri="{725AE2AE-9491-48be-B2B4-4EB974FC3084}">
      <x14:pivotCacheDefinition pivotCacheId="172367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n v="22"/>
    <x v="0"/>
    <x v="0"/>
    <x v="0"/>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22"/>
    <x v="0"/>
    <x v="0"/>
    <x v="1"/>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22"/>
    <x v="0"/>
    <x v="0"/>
    <x v="2"/>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22"/>
    <x v="0"/>
    <x v="0"/>
    <x v="3"/>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22"/>
    <x v="0"/>
    <x v="0"/>
    <x v="4"/>
    <x v="0"/>
    <x v="0"/>
    <s v="Ložionička 2, 71000 Sarajevo, Bosna i Hercegovina"/>
    <s v="https://www.kzzosa.ba/"/>
    <n v="38733725207"/>
    <s v="info@kzzosa.ba"/>
    <s v="Pravilnik o načinu ostvarivanja prava iz obaveznog zdravstvenog osiguranja (&quot;Sl.novine FBiH&quot; br 31/02 i 20/19) i odluke ZZOKS"/>
    <s v="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
    <s v=" "/>
    <s v=" "/>
    <s v=" "/>
    <s v="Administrativni postupci"/>
  </r>
  <r>
    <n v="46"/>
    <x v="1"/>
    <x v="1"/>
    <x v="0"/>
    <x v="0"/>
    <x v="1"/>
    <m/>
    <m/>
    <m/>
    <m/>
    <m/>
    <m/>
    <m/>
    <m/>
    <m/>
    <s v="Diskrecione usluge"/>
  </r>
  <r>
    <n v="2"/>
    <x v="2"/>
    <x v="2"/>
    <x v="0"/>
    <x v="1"/>
    <x v="2"/>
    <s v="Primjer Općine Centar"/>
    <s v="https://eregistar.centar.ba/registar/12-21-pravo-na-dodatak-za-njegu-i-pomoc-od-strane-drugog-lica-czr/"/>
    <s v="0038733562450_x000a_"/>
    <s v="zlatan.kulovic@centar.ba"/>
    <s v="Zakon o osnovama socijalne zaštite, zaštite civilnih žrtava rata i zaštite porodice sa djecom („Službene novine Federacije Bosne i Hercegovine“, br. 36/99, 54/04, 39/06, 14/09, 45/16 i 40/18); član 60._x000a_Instrukcija o iznosima novčanih davanja po Zakonu o socijalnoj zaštiti, zaštiti civilnih žrtava rata i zaštiti porodice sa djecom – Instrukciju svake kalendarske godine donosi ministar za rad, socijalnu politiku, raseljena lica i izbjeglice Kantona Sarajevo._x000a_"/>
    <s v="•_x0009_državljanstvo Bosne i Hercegovine;Potreba za tuđom njegom i pomoći civilne žrtve rata utvrđuje se na osnovu nalaza i mišljenja nadležne ljekarske komisije određene propisom ministra Federalnog ministarstva rada i socijalne politike._x000a_•_x0009_Vodi se upravni postupak u kojem se utvrđuje ispunjavanje uslova za ostvarivanje prava na dodatak za njegu i pomoć od strane drugog lica._x000a_•_x0009_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_x000a_•_x0009_da ima priznat status civilne žrtve rata i pravo na ličnu invalidninu i_x000a_•_x0009_da je nalazom i mišljenjem od strane ljekarske komisije utvrđena potreba za ortopedskim dodatkom. •_x0009_"/>
    <s v="Zahtjev za ostvarivanje prava na dodatak za njegu i pomoć od strane drugog lica podnosi se općini, nadležnoj općinskoj službi općine u kojoj podnosilac zahtjeva ima prebivalište._x000a_•_x0009_ •_x0009_rješenje o priznavanju statusa civilne žrtve rata i prava na ličnu invalidninu;_x000a_•_x0009_ovjerena kopija lične karte;_x000a_•_x0009_CIPS prijava o mjestu prebivališta i_x000a_•_x0009_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
    <m/>
    <m/>
    <s v="Administrativni postupci"/>
  </r>
  <r>
    <n v="2"/>
    <x v="2"/>
    <x v="2"/>
    <x v="1"/>
    <x v="1"/>
    <x v="2"/>
    <s v="Primjer Općine Centar"/>
    <s v="https://eregistar.centar.ba/registar/12-21-pravo-na-dodatak-za-njegu-i-pomoc-od-strane-drugog-lica-czr/"/>
    <s v="0038733562450_x000a_"/>
    <s v="zlatan.kulovic@centar.ba"/>
    <s v="Zakon o osnovama socijalne zaštite, zaštite civilnih žrtava rata i zaštite porodice sa djecom („Službene novine Federacije Bosne i Hercegovine“, br. 36/99, 54/04, 39/06, 14/09, 45/16 i 40/18); član 60._x000a_Instrukcija o iznosima novčanih davanja po Zakonu o socijalnoj zaštiti, zaštiti civilnih žrtava rata i zaštiti porodice sa djecom – Instrukciju svake kalendarske godine donosi ministar za rad, socijalnu politiku, raseljena lica i izbjeglice Kantona Sarajevo._x000a_"/>
    <s v="•_x0009_državljanstvo Bosne i Hercegovine;Potreba za tuđom njegom i pomoći civilne žrtve rata utvrđuje se na osnovu nalaza i mišljenja nadležne ljekarske komisije određene propisom ministra Federalnog ministarstva rada i socijalne politike._x000a_•_x0009_Vodi se upravni postupak u kojem se utvrđuje ispunjavanje uslova za ostvarivanje prava na dodatak za njegu i pomoć od strane drugog lica._x000a_•_x0009_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_x000a_•_x0009_da ima priznat status civilne žrtve rata i pravo na ličnu invalidninu i_x000a_•_x0009_da je nalazom i mišljenjem od strane ljekarske komisije utvrđena potreba za ortopedskim dodatkom. •_x0009_"/>
    <s v="Zahtjev za ostvarivanje prava na dodatak za njegu i pomoć od strane drugog lica podnosi se općini, nadležnoj općinskoj službi općine u kojoj podnosilac zahtjeva ima prebivalište._x000a_•_x0009_ •_x0009_rješenje o priznavanju statusa civilne žrtve rata i prava na ličnu invalidninu;_x000a_•_x0009_ovjerena kopija lične karte;_x000a_•_x0009_CIPS prijava o mjestu prebivališta i_x000a_•_x0009_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
    <m/>
    <m/>
    <s v="Administrativni postupci"/>
  </r>
  <r>
    <n v="2"/>
    <x v="2"/>
    <x v="2"/>
    <x v="2"/>
    <x v="1"/>
    <x v="2"/>
    <s v="Primjer Općine Centar"/>
    <s v="https://eregistar.centar.ba/registar/12-21-pravo-na-dodatak-za-njegu-i-pomoc-od-strane-drugog-lica-czr/"/>
    <s v="0038733562450_x000a_"/>
    <s v="zlatan.kulovic@centar.ba"/>
    <s v="Zakon o osnovama socijalne zaštite, zaštite civilnih žrtava rata i zaštite porodice sa djecom („Službene novine Federacije Bosne i Hercegovine“, br. 36/99, 54/04, 39/06, 14/09, 45/16 i 40/18); član 60._x000a_Instrukcija o iznosima novčanih davanja po Zakonu o socijalnoj zaštiti, zaštiti civilnih žrtava rata i zaštiti porodice sa djecom – Instrukciju svake kalendarske godine donosi ministar za rad, socijalnu politiku, raseljena lica i izbjeglice Kantona Sarajevo._x000a_"/>
    <s v="•_x0009_državljanstvo Bosne i Hercegovine;Potreba za tuđom njegom i pomoći civilne žrtve rata utvrđuje se na osnovu nalaza i mišljenja nadležne ljekarske komisije određene propisom ministra Federalnog ministarstva rada i socijalne politike._x000a_•_x0009_Vodi se upravni postupak u kojem se utvrđuje ispunjavanje uslova za ostvarivanje prava na dodatak za njegu i pomoć od strane drugog lica._x000a_•_x0009_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_x000a_•_x0009_da ima priznat status civilne žrtve rata i pravo na ličnu invalidninu i_x000a_•_x0009_da je nalazom i mišljenjem od strane ljekarske komisije utvrđena potreba za ortopedskim dodatkom. •_x0009_"/>
    <s v="Zahtjev za ostvarivanje prava na dodatak za njegu i pomoć od strane drugog lica podnosi se općini, nadležnoj općinskoj službi općine u kojoj podnosilac zahtjeva ima prebivalište._x000a_•_x0009_ •_x0009_rješenje o priznavanju statusa civilne žrtve rata i prava na ličnu invalidninu;_x000a_•_x0009_ovjerena kopija lične karte;_x000a_•_x0009_CIPS prijava o mjestu prebivališta i_x000a_•_x0009_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
    <m/>
    <m/>
    <s v="Administrativni postupci"/>
  </r>
  <r>
    <n v="13"/>
    <x v="3"/>
    <x v="3"/>
    <x v="0"/>
    <x v="2"/>
    <x v="3"/>
    <s v="Gatačka 80, Sarajevo"/>
    <s v="https://kcsr.ba/"/>
    <n v="38733723640"/>
    <s v="info@kcsr.ba"/>
    <s v="Pravilnik o utvrđivanju preostale sposobnosti i razvrstavanju djece i omladine ometene u psiho-fizičkom razvoju KS"/>
    <m/>
    <s v="https://kcsr.ba/file/kcsr21/274"/>
    <s v="https://kcsr.ba/file/kcsr21/274"/>
    <m/>
    <s v="Administrativni postupci"/>
  </r>
  <r>
    <n v="13"/>
    <x v="3"/>
    <x v="3"/>
    <x v="1"/>
    <x v="2"/>
    <x v="3"/>
    <s v="Gatačka 80, Sarajevo"/>
    <s v="https://kcsr.ba/"/>
    <n v="38733723640"/>
    <s v="info@kcsr.ba"/>
    <s v="Pravilnik o utvrđivanju preostale sposobnosti i razvrstavanju djece i omladine ometene u psiho-fizičkom razvoju KS"/>
    <m/>
    <s v="https://kcsr.ba/file/kcsr21/274"/>
    <s v="https://kcsr.ba/file/kcsr21/274"/>
    <m/>
    <s v="Administrativni postupci"/>
  </r>
  <r>
    <n v="13"/>
    <x v="3"/>
    <x v="3"/>
    <x v="2"/>
    <x v="2"/>
    <x v="3"/>
    <s v="Gatačka 80, Sarajevo"/>
    <s v="https://kcsr.ba/"/>
    <n v="38733723640"/>
    <s v="info@kcsr.ba"/>
    <s v="Pravilnik o utvrđivanju preostale sposobnosti i razvrstavanju djece i omladine ometene u psiho-fizičkom razvoju KS"/>
    <m/>
    <s v="https://kcsr.ba/file/kcsr21/274"/>
    <s v="https://kcsr.ba/file/kcsr21/274"/>
    <m/>
    <s v="Administrativni postupci"/>
  </r>
  <r>
    <n v="25"/>
    <x v="4"/>
    <x v="4"/>
    <x v="0"/>
    <x v="2"/>
    <x v="4"/>
    <s v="Bjelave 52, 71000 Sarajevo, Bosna i Hercegovina"/>
    <s v="https://dombjelave.ba/bs"/>
    <n v="38733209044"/>
    <s v=" dombjelave@hotmail.com"/>
    <s v="Član 85_x000a_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_x0009_Zakon o socijalnoj zaštiti, zaštiti civilnih žrtava rata i zaštiti porodice sa djecom („Službene novine Kantona Sarajevo“ br. 38/14 – Prečišćeni tekst, 38/16, 44/17 i 28/18); član 94."/>
    <m/>
    <s v="•_x0009_zahtjev za smještaj;_x000a_•_x0009_rješenje o smještaju;_x000a_•_x0009_socijalna anamneza;_x000a_•_x0009_izvod iz matične knjige rođenih;_x000a_•_x0009_zdravstvena knjižica;_x000a_•_x0009_medicinska dokumentacija (ukoliko dijete ima zdravstvene poteškoće) i_x000a_•_x0009_rješenje o starateljstvu (ukoliko je dijete pod starateljstvom nadležne službe)."/>
    <m/>
    <m/>
    <s v="Administrativni postupci"/>
  </r>
  <r>
    <n v="25"/>
    <x v="4"/>
    <x v="4"/>
    <x v="1"/>
    <x v="2"/>
    <x v="4"/>
    <s v="Bjelave 52, 71000 Sarajevo, Bosna i Hercegovina"/>
    <s v="https://dombjelave.ba/bs"/>
    <n v="38733209044"/>
    <s v=" dombjelave@hotmail.com"/>
    <s v="Član 85_x000a_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_x0009_Zakon o socijalnoj zaštiti, zaštiti civilnih žrtava rata i zaštiti porodice sa djecom („Službene novine Kantona Sarajevo“ br. 38/14 – Prečišćeni tekst, 38/16, 44/17 i 28/18); član 94."/>
    <m/>
    <s v="•_x0009_zahtjev za smještaj;_x000a_•_x0009_rješenje o smještaju;_x000a_•_x0009_socijalna anamneza;_x000a_•_x0009_izvod iz matične knjige rođenih;_x000a_•_x0009_zdravstvena knjižica;_x000a_•_x0009_medicinska dokumentacija (ukoliko dijete ima zdravstvene poteškoće) i_x000a_•_x0009_rješenje o starateljstvu (ukoliko je dijete pod starateljstvom nadležne službe)."/>
    <m/>
    <m/>
    <s v="Administrativni postupci"/>
  </r>
  <r>
    <n v="25"/>
    <x v="4"/>
    <x v="4"/>
    <x v="2"/>
    <x v="2"/>
    <x v="4"/>
    <s v="Bjelave 52, 71000 Sarajevo, Bosna i Hercegovina"/>
    <s v="https://dombjelave.ba/bs"/>
    <n v="38733209044"/>
    <s v=" dombjelave@hotmail.com"/>
    <s v="Član 85_x000a_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_x0009_Zakon o socijalnoj zaštiti, zaštiti civilnih žrtava rata i zaštiti porodice sa djecom („Službene novine Kantona Sarajevo“ br. 38/14 – Prečišćeni tekst, 38/16, 44/17 i 28/18); član 94."/>
    <m/>
    <s v="•_x0009_zahtjev za smještaj;_x000a_•_x0009_rješenje o smještaju;_x000a_•_x0009_socijalna anamneza;_x000a_•_x0009_izvod iz matične knjige rođenih;_x000a_•_x0009_zdravstvena knjižica;_x000a_•_x0009_medicinska dokumentacija (ukoliko dijete ima zdravstvene poteškoće) i_x000a_•_x0009_rješenje o starateljstvu (ukoliko je dijete pod starateljstvom nadležne službe)."/>
    <m/>
    <m/>
    <s v="Administrativni postupci"/>
  </r>
  <r>
    <n v="4"/>
    <x v="5"/>
    <x v="5"/>
    <x v="0"/>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4"/>
    <x v="5"/>
    <x v="5"/>
    <x v="1"/>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4"/>
    <x v="5"/>
    <x v="5"/>
    <x v="2"/>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4"/>
    <x v="5"/>
    <x v="5"/>
    <x v="3"/>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4"/>
    <x v="5"/>
    <x v="5"/>
    <x v="4"/>
    <x v="2"/>
    <x v="5"/>
    <s v="Zmaja od Bosne 55, 71000 Sarajevo, Bosna i Hercegovina"/>
    <s v="https://novosarajevo.ba/"/>
    <n v="38733492125"/>
    <s v="socijalna.pitanja@novosarajevo.ba"/>
    <s v="Odluka o uslovima, načinu, kriterijima i iznosu sredstava za dodjelu jednokratne novčane pomoći licima i domaćinstvima sa područja općine Novo Sarajevo (&quot;Službene novine Kantona Sarajevo&quot;, broj: 19/21 i 19/22)"/>
    <s v="Zahtjev se predaje Službi za socijalna pitanja, zdravstvo, izbjeglice i raseljena lica na propisanom obrascu, na kojem je navedena dokumentacija koju je potrebno priložiti."/>
    <s v="•izjava - saglasnost za obradu podataka_x000a_•potvrda prijave mjesta prebivališta-boravišta (CIPS) za sve članove domaćinstva_x000a_•potvrda mjesne zajednice ili ovjerena kućna lista o broju članova domaćinstva_x000a_•potvrda banke o otvorenom žiro-računu_x000a_•preporuke stručnog lica medicinske struke_x000a_•original računi i dokaz o participaciji od Zavoda zdravstvenog osiguranja KS_x000a_•pravosnažno Rješenje ili uvjerenje JU &quot;Centar za socijalni rad&quot;_x000a_•dokaz o primanjima za sve članove domaćinstva ili potvrda o redovnom školovanju_x000a_•uvjerenje iz JU &quot;Centar za socijalni rad&quot; da li je njihov korisnik po bilo kom osnovu, za sve članove domaćinstva_x000a_•uvjerenje Porezne uprave, za sve članove domaćinstva"/>
    <s v="https://novosarajevo.ba/userfiles/doc/files/Odluka_o_uslovima.pdf"/>
    <s v="Zahtjevi se podnose tokom čitave godine, ali se pravo ostvaruje jednom u toku kalendarske godine"/>
    <s v="Administrativni postupci"/>
  </r>
  <r>
    <n v="7"/>
    <x v="6"/>
    <x v="6"/>
    <x v="0"/>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7"/>
    <x v="6"/>
    <x v="6"/>
    <x v="1"/>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7"/>
    <x v="6"/>
    <x v="6"/>
    <x v="2"/>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7"/>
    <x v="6"/>
    <x v="6"/>
    <x v="3"/>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7"/>
    <x v="6"/>
    <x v="6"/>
    <x v="4"/>
    <x v="0"/>
    <x v="6"/>
    <s v="Ložionička 2, 71000 Sarajevo, Bosna i Hercegovina"/>
    <s v="https://www.kzzosa.ba/"/>
    <n v="38733725207"/>
    <s v="info@kzzosa.ba"/>
    <s v="Posebni protokoli (zaključuju se na godišnjem nivou, dostupni na stranici Zavoda, rubrika Javnost rada)"/>
    <s v="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
    <s v=" "/>
    <s v=" "/>
    <s v=" "/>
    <s v="Administrativni postupci"/>
  </r>
  <r>
    <n v="8"/>
    <x v="7"/>
    <x v="7"/>
    <x v="0"/>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8"/>
    <x v="7"/>
    <x v="7"/>
    <x v="1"/>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8"/>
    <x v="7"/>
    <x v="7"/>
    <x v="2"/>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8"/>
    <x v="7"/>
    <x v="7"/>
    <x v="3"/>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8"/>
    <x v="7"/>
    <x v="7"/>
    <x v="4"/>
    <x v="0"/>
    <x v="0"/>
    <s v="Ložionička 2, 71000 Sarajevo, Bosna i Hercegovina"/>
    <s v="https://www.kzzosa.ba/"/>
    <n v="38733725207"/>
    <s v="info@kzzosa.ba"/>
    <s v="Odluka o utvrđivanju osnovnog paketa zdravstvenih prava (&quot;Sl.novine FBiH&quot; br. 21/09)"/>
    <s v="Ovlašteni ljekar/propisivač (neurolog, kardiolog itd) izdaju preporuku za medicinsku rehabilitaciju, koja se ovjerava u ZZO KS i osiguranik upućuje na medicinsku rehabilitaciju do 21 dana"/>
    <s v=" "/>
    <s v=" "/>
    <s v=" "/>
    <s v="Administrativni postupci"/>
  </r>
  <r>
    <n v="9"/>
    <x v="8"/>
    <x v="8"/>
    <x v="0"/>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9"/>
    <x v="8"/>
    <x v="8"/>
    <x v="1"/>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9"/>
    <x v="8"/>
    <x v="8"/>
    <x v="2"/>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9"/>
    <x v="8"/>
    <x v="8"/>
    <x v="3"/>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9"/>
    <x v="8"/>
    <x v="8"/>
    <x v="4"/>
    <x v="0"/>
    <x v="0"/>
    <s v="Ložionička 2, 71000 Sarajevo, Bosna i Hercegovina"/>
    <s v="https://www.kzzosa.ba/"/>
    <n v="38733725207"/>
    <s v="info@kzzosa.ba"/>
    <s v="Odluka o obimu, uslovima i načinu ostvarivanja prava osiguranih lica Kantona Sarajevo na medicinska sredstva (&quot;Službene novine Kantona Sarajevo&quot;, broj: 22/20, 30/21, 42/22 i 48/22)"/>
    <s v="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
    <s v=" "/>
    <s v=" "/>
    <s v=" "/>
    <s v="Administrativni postupci"/>
  </r>
  <r>
    <n v="15"/>
    <x v="9"/>
    <x v="9"/>
    <x v="0"/>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5"/>
    <x v="9"/>
    <x v="9"/>
    <x v="1"/>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5"/>
    <x v="9"/>
    <x v="9"/>
    <x v="2"/>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5"/>
    <x v="9"/>
    <x v="9"/>
    <x v="3"/>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5"/>
    <x v="9"/>
    <x v="9"/>
    <x v="4"/>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uvjerenje se pribavlja u općini prebivališta /boravišta podnosioca zahtjeva)_x000a_(uvjerenje se pribavlja u općini prebivališta podnosioca zahtjeva)"/>
    <s v="https://kcsr.ba/file/kcsr13/268"/>
    <s v="https://kcsr.ba/file/kcsr13/268"/>
    <m/>
    <s v="Administrativni postupci"/>
  </r>
  <r>
    <n v="19"/>
    <x v="10"/>
    <x v="10"/>
    <x v="0"/>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19"/>
    <x v="10"/>
    <x v="10"/>
    <x v="1"/>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19"/>
    <x v="10"/>
    <x v="10"/>
    <x v="2"/>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19"/>
    <x v="10"/>
    <x v="10"/>
    <x v="3"/>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19"/>
    <x v="10"/>
    <x v="10"/>
    <x v="4"/>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matični ured prema mjestu rodjenja maloljetne osobe)_x000a_(dokaz o primanjima – potvrda o visini ličnog dohotka, potvrda službe za zapošljavanje, potvrda PIO, potvrda škole/fakulteta)_x000a_(nadležna je općina prebivališta članova domaćinstva)_x000a_(dokaz o kvadraturi stambenog prostora -utvrdjuje se od strane stručnih radnika -na terenu – općine koja vodi postupak po osnovu zahtjeva)_x000a_(nadležna je služba općine za obavljanje poslova iz oblasti zaštite civilnih žrtava rata i zaštite porodice sa djecom)_x000a_(matični ured prema mjestu rodjenja maloljetne osobe)_x000a_(nadležna je općina prebivališta članova domaćinstva)_x000a_(Prema prebivalištu podnosioca zahtjeva)"/>
    <s v="https://kcsr.ba/file/kcsr4/262"/>
    <s v="https://kcsr.ba/file/kcsr4/262"/>
    <m/>
    <s v="Administrativni postupci"/>
  </r>
  <r>
    <n v="20"/>
    <x v="11"/>
    <x v="11"/>
    <x v="0"/>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0"/>
    <x v="11"/>
    <x v="11"/>
    <x v="1"/>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0"/>
    <x v="11"/>
    <x v="11"/>
    <x v="2"/>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0"/>
    <x v="11"/>
    <x v="11"/>
    <x v="3"/>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0"/>
    <x v="11"/>
    <x v="11"/>
    <x v="4"/>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prema mjestu prebivališta podnosioca zahtjeva)"/>
    <s v="https://kcsr.ba/file/kcsr7/264"/>
    <s v="https://kcsr.ba/file/kcsr7/264"/>
    <m/>
    <s v="Administrativni postupci"/>
  </r>
  <r>
    <n v="21"/>
    <x v="12"/>
    <x v="12"/>
    <x v="0"/>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21"/>
    <x v="12"/>
    <x v="12"/>
    <x v="1"/>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21"/>
    <x v="12"/>
    <x v="12"/>
    <x v="2"/>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21"/>
    <x v="12"/>
    <x v="12"/>
    <x v="3"/>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21"/>
    <x v="12"/>
    <x v="12"/>
    <x v="4"/>
    <x v="2"/>
    <x v="3"/>
    <s v="Gatačka 80, Sarajevo"/>
    <s v="https://kcsr.ba/"/>
    <n v="38733723635"/>
    <s v="mirsada@kcsr.ba"/>
    <s v="Zakon o roditeljima njegovateljima u Federaciji BiH"/>
    <s v="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_x000a_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
    <s v="https://kcsr.ba/file/kcsr-23/349"/>
    <s v="http://obrasci.pufbih.ba/images/stories/dohodak_docs/NoviObrazacPK1001hrv.pdf"/>
    <m/>
    <s v="Administrativni postupci"/>
  </r>
  <r>
    <n v="33"/>
    <x v="13"/>
    <x v="13"/>
    <x v="0"/>
    <x v="0"/>
    <x v="7"/>
    <m/>
    <m/>
    <m/>
    <m/>
    <s v="Zakon o osnovama socijalne zaštite, zaštite civilnih žrtava rata i zaštite porodice s djecom, Član 88: Zaštita porodice sa djecom ima za cilj:_x000a_da se osiguraju svoj djeci približno jednaki uvjeti za zdrav i pravilan tjelesni, intelektualni i emocionalni razvoj u porodici,_x000a_pomoć u ostvarivanju njene reproduktivne uloge, njezi, podizanju, odgoju i zaštiti djece i poboljšanju kvaliteta života porodice,_x000a_razvijanje humanih odnosa u skladu sa načelima građanskog morala i solidarnosti._x000a_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
    <m/>
    <m/>
    <m/>
    <m/>
    <s v="Diskrecione usluge"/>
  </r>
  <r>
    <n v="33"/>
    <x v="13"/>
    <x v="13"/>
    <x v="1"/>
    <x v="0"/>
    <x v="7"/>
    <m/>
    <m/>
    <m/>
    <m/>
    <s v="Zakon o osnovama socijalne zaštite, zaštite civilnih žrtava rata i zaštite porodice s djecom, Član 88: Zaštita porodice sa djecom ima za cilj:_x000a_da se osiguraju svoj djeci približno jednaki uvjeti za zdrav i pravilan tjelesni, intelektualni i emocionalni razvoj u porodici,_x000a_pomoć u ostvarivanju njene reproduktivne uloge, njezi, podizanju, odgoju i zaštiti djece i poboljšanju kvaliteta života porodice,_x000a_razvijanje humanih odnosa u skladu sa načelima građanskog morala i solidarnosti._x000a_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
    <m/>
    <m/>
    <m/>
    <m/>
    <s v="Diskrecione usluge"/>
  </r>
  <r>
    <n v="33"/>
    <x v="13"/>
    <x v="13"/>
    <x v="2"/>
    <x v="0"/>
    <x v="7"/>
    <m/>
    <m/>
    <m/>
    <m/>
    <s v="Zakon o osnovama socijalne zaštite, zaštite civilnih žrtava rata i zaštite porodice s djecom, Član 88: Zaštita porodice sa djecom ima za cilj:_x000a_da se osiguraju svoj djeci približno jednaki uvjeti za zdrav i pravilan tjelesni, intelektualni i emocionalni razvoj u porodici,_x000a_pomoć u ostvarivanju njene reproduktivne uloge, njezi, podizanju, odgoju i zaštiti djece i poboljšanju kvaliteta života porodice,_x000a_razvijanje humanih odnosa u skladu sa načelima građanskog morala i solidarnosti._x000a_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
    <m/>
    <m/>
    <m/>
    <m/>
    <s v="Diskrecione usluge"/>
  </r>
  <r>
    <n v="49"/>
    <x v="14"/>
    <x v="14"/>
    <x v="0"/>
    <x v="0"/>
    <x v="1"/>
    <m/>
    <m/>
    <m/>
    <m/>
    <s v="Uredba o obimu, uvjetima i načiu ostvarivanja prava osiguranih lica na korištenje ortopedskih i drugih pomagala, endoproteza, stomatološko protetske pomoći i stomatološko - protetskih nadomjestaka_x000a_https://www.kzzosa.ba/wp-content/uploads/2023/08/Odluka_o_visini_ucesca_ZZO_KS_u_cijeni_medicinskih_sredstava-1.pdf"/>
    <m/>
    <m/>
    <m/>
    <m/>
    <s v="Diskrecione usluge"/>
  </r>
  <r>
    <n v="49"/>
    <x v="14"/>
    <x v="14"/>
    <x v="1"/>
    <x v="0"/>
    <x v="1"/>
    <m/>
    <m/>
    <m/>
    <m/>
    <s v="Uredba o obimu, uvjetima i načiu ostvarivanja prava osiguranih lica na korištenje ortopedskih i drugih pomagala, endoproteza, stomatološko protetske pomoći i stomatološko - protetskih nadomjestaka_x000a_https://www.kzzosa.ba/wp-content/uploads/2023/08/Odluka_o_visini_ucesca_ZZO_KS_u_cijeni_medicinskih_sredstava-1.pdf"/>
    <m/>
    <m/>
    <m/>
    <m/>
    <s v="Diskrecione usluge"/>
  </r>
  <r>
    <n v="49"/>
    <x v="14"/>
    <x v="14"/>
    <x v="2"/>
    <x v="0"/>
    <x v="1"/>
    <m/>
    <m/>
    <m/>
    <m/>
    <s v="Uredba o obimu, uvjetima i načiu ostvarivanja prava osiguranih lica na korištenje ortopedskih i drugih pomagala, endoproteza, stomatološko protetske pomoći i stomatološko - protetskih nadomjestaka_x000a_https://www.kzzosa.ba/wp-content/uploads/2023/08/Odluka_o_visini_ucesca_ZZO_KS_u_cijeni_medicinskih_sredstava-1.pdf"/>
    <m/>
    <m/>
    <m/>
    <m/>
    <s v="Diskrecione usluge"/>
  </r>
  <r>
    <n v="50"/>
    <x v="15"/>
    <x v="15"/>
    <x v="0"/>
    <x v="2"/>
    <x v="8"/>
    <m/>
    <m/>
    <m/>
    <m/>
    <m/>
    <m/>
    <m/>
    <m/>
    <m/>
    <s v="Diskrecione usluge"/>
  </r>
  <r>
    <n v="50"/>
    <x v="15"/>
    <x v="15"/>
    <x v="1"/>
    <x v="2"/>
    <x v="8"/>
    <m/>
    <m/>
    <m/>
    <m/>
    <m/>
    <m/>
    <m/>
    <m/>
    <m/>
    <s v="Diskrecione usluge"/>
  </r>
  <r>
    <n v="50"/>
    <x v="15"/>
    <x v="15"/>
    <x v="2"/>
    <x v="2"/>
    <x v="8"/>
    <m/>
    <m/>
    <m/>
    <m/>
    <m/>
    <m/>
    <m/>
    <m/>
    <m/>
    <s v="Diskrecione usluge"/>
  </r>
  <r>
    <n v="53"/>
    <x v="16"/>
    <x v="16"/>
    <x v="0"/>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53"/>
    <x v="16"/>
    <x v="16"/>
    <x v="1"/>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53"/>
    <x v="16"/>
    <x v="16"/>
    <x v="2"/>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53"/>
    <x v="16"/>
    <x v="16"/>
    <x v="3"/>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53"/>
    <x v="16"/>
    <x v="16"/>
    <x v="4"/>
    <x v="2"/>
    <x v="7"/>
    <m/>
    <m/>
    <m/>
    <m/>
    <s v="Član 73_x000a_(Uslovi za porodičnu penziju djeteta)_x000a_(1) Dijete ima pravo na porodičnu penziju do navršenih 15 godina života._x000a_(2) Poslije navršenih 15 godina života, dijete ima pravo na porodičnu penziju do završetka redovnog školovanja, ali najkasnije do navršenih 26 godina života._x000a_(3) Redovnim školovanjem, u smislu ovog zakona, ne smatra se školovanje u školi istog ili nižeg stepena obrazovanja od škole koju je dijete završilo._x000a_(4) Dijete kod koga nastupi nesposobnost za samostalan život i rad prije 15. godine života ima pravo na porodičnu penziju dok ta nesposobnost traje._x000a_(5) Dijete kod koga nesposobnost za privređivanje nastupi poslije 15. godine života, a prije smrti osiguranika odnosno korisnika penzije ima pravo na porodičnu penziju ako ga je osiguranik odnosno korisnik penzije izdržavao do svoje smrti._x000a_(6) Dijete kod koga u toku korištenja prava na porodičnu penziju nastupi nesposobnost za samostalan život i rad ili nesposobnost za privređivanje zadržava pravo na penziju dok ta nesposobnost traje._x000a_(7) Nesposobnost za samostalan život i rad postoji kada se lice zbog vrste i težine fizičkog ili mentalnog oštećenja ili vrste i težine psihičke bolesti ne može osposobiti za obavljanje najjednostavnijih poslova."/>
    <m/>
    <m/>
    <m/>
    <m/>
    <s v="Neinstitucionalizirana prava"/>
  </r>
  <r>
    <n v="31"/>
    <x v="17"/>
    <x v="17"/>
    <x v="0"/>
    <x v="0"/>
    <x v="9"/>
    <s v="Kranjčevićeva 12, Sarajevo"/>
    <m/>
    <n v="38733285261"/>
    <m/>
    <m/>
    <s v="Naručivanje u ambulanti."/>
    <m/>
    <m/>
    <m/>
    <s v="Diskrecione usluge"/>
  </r>
  <r>
    <n v="31"/>
    <x v="17"/>
    <x v="17"/>
    <x v="1"/>
    <x v="0"/>
    <x v="9"/>
    <s v="Kranjčevićeva 12, Sarajevo"/>
    <m/>
    <n v="38733285261"/>
    <m/>
    <m/>
    <s v="Naručivanje u ambulanti."/>
    <m/>
    <m/>
    <m/>
    <s v="Diskrecione usluge"/>
  </r>
  <r>
    <n v="31"/>
    <x v="17"/>
    <x v="17"/>
    <x v="2"/>
    <x v="0"/>
    <x v="9"/>
    <s v="Kranjčevićeva 12, Sarajevo"/>
    <m/>
    <n v="38733285261"/>
    <m/>
    <m/>
    <s v="Naručivanje u ambulanti."/>
    <m/>
    <m/>
    <m/>
    <s v="Diskrecione usluge"/>
  </r>
  <r>
    <n v="31"/>
    <x v="17"/>
    <x v="17"/>
    <x v="3"/>
    <x v="0"/>
    <x v="9"/>
    <s v="Kranjčevićeva 12, Sarajevo"/>
    <m/>
    <n v="38733285261"/>
    <m/>
    <m/>
    <s v="Naručivanje u ambulanti."/>
    <m/>
    <m/>
    <m/>
    <s v="Diskrecione usluge"/>
  </r>
  <r>
    <n v="31"/>
    <x v="17"/>
    <x v="17"/>
    <x v="4"/>
    <x v="0"/>
    <x v="9"/>
    <s v="Kranjčevićeva 12, Sarajevo"/>
    <m/>
    <n v="38733285261"/>
    <m/>
    <m/>
    <s v="Naručivanje u ambulanti."/>
    <m/>
    <m/>
    <m/>
    <s v="Diskrecione usluge"/>
  </r>
  <r>
    <n v="34"/>
    <x v="18"/>
    <x v="18"/>
    <x v="0"/>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4"/>
    <x v="18"/>
    <x v="18"/>
    <x v="1"/>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4"/>
    <x v="18"/>
    <x v="18"/>
    <x v="2"/>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4"/>
    <x v="18"/>
    <x v="18"/>
    <x v="3"/>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4"/>
    <x v="18"/>
    <x v="18"/>
    <x v="4"/>
    <x v="2"/>
    <x v="10"/>
    <s v="Butmirska cesta 12, prvi sprat"/>
    <s v="https://www.opcinailidza.ba/services/sluzba-za-socijalna-pitanja-zdravstvo-izbjeglice-i-raseljena-lica"/>
    <n v="387733637384"/>
    <s v="sejda.topalovic@opcinailidza.ba"/>
    <s v="Pomoć se dodjeljuje kontinuirano posljednjih 10 godina"/>
    <s v="Dodjela se vrši na osnovu evidencija Službe, a upis u evidenciju  može se izvršti i na način da se dostavi  dokumentacija Službi za socijalna pitanja, zdravstvo, izbjeglice i raseljena lica Općine Ilidža na adresi Butmirska cesta 12, -prvi sprat"/>
    <s v="CIPS-ova prijava mjesta boravka_x000a_Rješenje koje je doneseno u skladu Pravilnikom o utvrđivanju preostale sposobnosti i razvrstavanju djece i omladine ometene u psiho-fizičkom razvoju (&quot;Službene novine Kantona Sarajevo&quot; br. 26/08 i 5/12), odnsono medicinskom dokumentacijom za djecu oboljelu od od karcinoma, šećerne bolesti, leukemije, TBC i celijakije"/>
    <s v="ZAHTJEV ZA PRIZNAVANJE PRAVA NA JEDNOKRATNU NOVČANU POMOĆ I SUFINANSIRANJE MEDICINSKI POTPOMOGNUTE OPLODNJE.pdf (opcinailidza.ba)"/>
    <m/>
    <s v="Diskrecione usluge"/>
  </r>
  <r>
    <n v="36"/>
    <x v="19"/>
    <x v="19"/>
    <x v="0"/>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6"/>
    <x v="19"/>
    <x v="19"/>
    <x v="1"/>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6"/>
    <x v="19"/>
    <x v="19"/>
    <x v="2"/>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6"/>
    <x v="19"/>
    <x v="19"/>
    <x v="3"/>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6"/>
    <x v="19"/>
    <x v="19"/>
    <x v="4"/>
    <x v="0"/>
    <x v="10"/>
    <s v="Butmirska cesta 12, prvi sprat"/>
    <s v="ZAHTJEV ZA PRIZNAVANJE PRAVA NA JEDNOKRATNU NOVČANU POMOĆ I SUFINANSIRANJE MEDICINSKI POTPOMOGNUTE OPLODNJE.pdf (opcinailidza.ba)"/>
    <n v="387733637384"/>
    <s v="sejda.topalovic@opcinailidza.ba"/>
    <s v="Za rješavanje zahtjeva nadležna je Komisija koju čine ljekari različitih specijalnosti"/>
    <s v="ZAHTJEV ZA PRIZNAVANJE PRAVA NA JEDNOKRATNU NOVČANU POMOĆ I SUFINANSIRANJE MEDICINSKI POTPOMOGNUTE OPLODNJE.pdf (opcinailidza.ba)"/>
    <s v="ZAHTJEV ZA PRIZNAVANJE PRAVA NA JEDNOKRATNU NOVČANU POMOĆ I SUFINANSIRANJE MEDICINSKI POTPOMOGNUTE OPLODNJE.pdf (opcinailidza.ba)"/>
    <s v="ZAHTJEV ZA PRIZNAVANJE PRAVA NA JEDNOKRATNU NOVČANU POMOĆ I SUFINANSIRANJE MEDICINSKI POTPOMOGNUTE OPLODNJE.pdf (opcinailidza.ba)"/>
    <m/>
    <s v="Diskrecione usluge"/>
  </r>
  <r>
    <n v="39"/>
    <x v="20"/>
    <x v="20"/>
    <x v="0"/>
    <x v="0"/>
    <x v="11"/>
    <m/>
    <m/>
    <m/>
    <m/>
    <m/>
    <m/>
    <m/>
    <m/>
    <m/>
    <s v="Diskrecione usluge"/>
  </r>
  <r>
    <n v="39"/>
    <x v="20"/>
    <x v="20"/>
    <x v="1"/>
    <x v="0"/>
    <x v="11"/>
    <m/>
    <m/>
    <m/>
    <m/>
    <m/>
    <m/>
    <m/>
    <m/>
    <m/>
    <s v="Diskrecione usluge"/>
  </r>
  <r>
    <n v="39"/>
    <x v="20"/>
    <x v="20"/>
    <x v="2"/>
    <x v="0"/>
    <x v="11"/>
    <m/>
    <m/>
    <m/>
    <m/>
    <m/>
    <m/>
    <m/>
    <m/>
    <m/>
    <s v="Diskrecione usluge"/>
  </r>
  <r>
    <n v="39"/>
    <x v="20"/>
    <x v="20"/>
    <x v="3"/>
    <x v="0"/>
    <x v="11"/>
    <m/>
    <m/>
    <m/>
    <m/>
    <m/>
    <m/>
    <m/>
    <m/>
    <m/>
    <s v="Diskrecione usluge"/>
  </r>
  <r>
    <n v="39"/>
    <x v="20"/>
    <x v="20"/>
    <x v="4"/>
    <x v="0"/>
    <x v="11"/>
    <m/>
    <m/>
    <m/>
    <m/>
    <m/>
    <m/>
    <m/>
    <m/>
    <m/>
    <s v="Diskrecione usluge"/>
  </r>
  <r>
    <n v="40"/>
    <x v="21"/>
    <x v="21"/>
    <x v="0"/>
    <x v="3"/>
    <x v="12"/>
    <s v="Zmaja od Bosne 88"/>
    <s v="https://mojwebshop.bhtelecom.ba/INTERSHOP/web/BOS/BHTelecomWebShop-BHTelecom-Site/bs_BA/-/BAM/ViewProduct-Start?SKU=100003"/>
    <n v="38733653093"/>
    <m/>
    <m/>
    <m/>
    <m/>
    <m/>
    <m/>
    <s v="Diskrecione usluge"/>
  </r>
  <r>
    <n v="40"/>
    <x v="21"/>
    <x v="21"/>
    <x v="1"/>
    <x v="3"/>
    <x v="12"/>
    <s v="Zmaja od Bosne 88"/>
    <s v="https://mojwebshop.bhtelecom.ba/INTERSHOP/web/BOS/BHTelecomWebShop-BHTelecom-Site/bs_BA/-/BAM/ViewProduct-Start?SKU=100003"/>
    <n v="38733653093"/>
    <m/>
    <m/>
    <m/>
    <m/>
    <m/>
    <m/>
    <s v="Diskrecione usluge"/>
  </r>
  <r>
    <n v="40"/>
    <x v="21"/>
    <x v="21"/>
    <x v="2"/>
    <x v="3"/>
    <x v="12"/>
    <s v="Zmaja od Bosne 88"/>
    <s v="https://mojwebshop.bhtelecom.ba/INTERSHOP/web/BOS/BHTelecomWebShop-BHTelecom-Site/bs_BA/-/BAM/ViewProduct-Start?SKU=100003"/>
    <n v="38733653093"/>
    <m/>
    <m/>
    <m/>
    <m/>
    <m/>
    <m/>
    <s v="Diskrecione usluge"/>
  </r>
  <r>
    <n v="40"/>
    <x v="21"/>
    <x v="21"/>
    <x v="3"/>
    <x v="3"/>
    <x v="12"/>
    <s v="Zmaja od Bosne 88"/>
    <s v="https://mojwebshop.bhtelecom.ba/INTERSHOP/web/BOS/BHTelecomWebShop-BHTelecom-Site/bs_BA/-/BAM/ViewProduct-Start?SKU=100003"/>
    <n v="38733653093"/>
    <m/>
    <m/>
    <m/>
    <m/>
    <m/>
    <m/>
    <s v="Diskrecione usluge"/>
  </r>
  <r>
    <n v="40"/>
    <x v="21"/>
    <x v="21"/>
    <x v="4"/>
    <x v="3"/>
    <x v="12"/>
    <s v="Zmaja od Bosne 88"/>
    <s v="https://mojwebshop.bhtelecom.ba/INTERSHOP/web/BOS/BHTelecomWebShop-BHTelecom-Site/bs_BA/-/BAM/ViewProduct-Start?SKU=100003"/>
    <n v="38733653093"/>
    <m/>
    <m/>
    <m/>
    <m/>
    <m/>
    <m/>
    <s v="Diskrecione usluge"/>
  </r>
  <r>
    <n v="41"/>
    <x v="22"/>
    <x v="22"/>
    <x v="0"/>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1"/>
    <x v="22"/>
    <x v="22"/>
    <x v="1"/>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1"/>
    <x v="22"/>
    <x v="22"/>
    <x v="2"/>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1"/>
    <x v="22"/>
    <x v="22"/>
    <x v="3"/>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1"/>
    <x v="22"/>
    <x v="22"/>
    <x v="4"/>
    <x v="4"/>
    <x v="13"/>
    <m/>
    <m/>
    <m/>
    <m/>
    <s v="Zakn o porezu na dohodak FBiH"/>
    <m/>
    <s v="Kopija lične karte_x000a_Vjenčani list;_x000a_Rodni list;_x000a_Dokaz o visini prihoda izdržavanog lica;_x000a_Uvjerenje o zajedničkom domaćinstvu;_x000a_Rješenje nadležnog organa sa utvrđenim tjelesnim oštećenjem i stepena invaliditeta"/>
    <m/>
    <m/>
    <s v="Diskrecione usluge"/>
  </r>
  <r>
    <n v="42"/>
    <x v="23"/>
    <x v="1"/>
    <x v="0"/>
    <x v="0"/>
    <x v="1"/>
    <m/>
    <m/>
    <m/>
    <m/>
    <m/>
    <m/>
    <m/>
    <m/>
    <m/>
    <s v="Diskrecione usluge"/>
  </r>
  <r>
    <n v="42"/>
    <x v="23"/>
    <x v="1"/>
    <x v="1"/>
    <x v="0"/>
    <x v="1"/>
    <m/>
    <m/>
    <m/>
    <m/>
    <m/>
    <m/>
    <m/>
    <m/>
    <m/>
    <s v="Diskrecione usluge"/>
  </r>
  <r>
    <n v="42"/>
    <x v="23"/>
    <x v="1"/>
    <x v="2"/>
    <x v="0"/>
    <x v="1"/>
    <m/>
    <m/>
    <m/>
    <m/>
    <m/>
    <m/>
    <m/>
    <m/>
    <m/>
    <s v="Diskrecione usluge"/>
  </r>
  <r>
    <n v="42"/>
    <x v="23"/>
    <x v="1"/>
    <x v="3"/>
    <x v="0"/>
    <x v="1"/>
    <m/>
    <m/>
    <m/>
    <m/>
    <m/>
    <m/>
    <m/>
    <m/>
    <m/>
    <s v="Diskrecione usluge"/>
  </r>
  <r>
    <n v="42"/>
    <x v="23"/>
    <x v="1"/>
    <x v="4"/>
    <x v="0"/>
    <x v="1"/>
    <m/>
    <m/>
    <m/>
    <m/>
    <m/>
    <m/>
    <m/>
    <m/>
    <m/>
    <s v="Diskrecione usluge"/>
  </r>
  <r>
    <n v="52"/>
    <x v="24"/>
    <x v="23"/>
    <x v="0"/>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2"/>
    <x v="24"/>
    <x v="23"/>
    <x v="1"/>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2"/>
    <x v="24"/>
    <x v="23"/>
    <x v="2"/>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2"/>
    <x v="24"/>
    <x v="23"/>
    <x v="3"/>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2"/>
    <x v="24"/>
    <x v="23"/>
    <x v="4"/>
    <x v="2"/>
    <x v="7"/>
    <m/>
    <s v="Moze li neko provjeriti u: Usluga dnevnog ili poludnevnog boravka u Centar za dnevni boravak – Gerontološki centar , u prvom sheetu"/>
    <m/>
    <m/>
    <s v="Član 60_x000a__x000a_Pomoć i njega u kući može se odobriti osobi kojoj je zbog tjelesnog ili mentalnog oštećenja ili trajnih promjena u zdravstvenom stanju ili starosti prijeko potrebna pomoć i njega druge osobe pod uvjetom:_x000a_- da nije ostvarila pravo na novčanu naknadu za pomoć i njegu od strane druge osobe;_x000a_- da nema mogućnosti da joj pomoć i njegu osiguraju roditelji, bračni drug i djeca;_x000a_- da nema mogućnosti da pomoć i njegu osigura na temelju ugovora o doživotnom izdržavanju;_x000a_- da prihod po članu domaćinstva ne prelazi 30% prosječne plaće._x000a_Potrebu za pomoć i njegu u kući utvrđuje Stručna institucija."/>
    <m/>
    <m/>
    <m/>
    <m/>
    <s v="Neinstitucionalizirana prava"/>
  </r>
  <r>
    <n v="58"/>
    <x v="25"/>
    <x v="24"/>
    <x v="0"/>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8"/>
    <x v="25"/>
    <x v="24"/>
    <x v="1"/>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8"/>
    <x v="25"/>
    <x v="24"/>
    <x v="2"/>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8"/>
    <x v="25"/>
    <x v="24"/>
    <x v="3"/>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8"/>
    <x v="25"/>
    <x v="24"/>
    <x v="4"/>
    <x v="5"/>
    <x v="7"/>
    <m/>
    <m/>
    <m/>
    <m/>
    <s v="Član 11._x000a_(Naknada i doprinosi)_x000a_(1) Roditelj njegovatelj ima pravo na mjesečnu naknadu u visini iznosa neto najniže plaće u Federaciji Bosne i Hercegovine u skladu sa Zakonom o radu (&quot;Službene novine Federacije BiH&quot;, br. 26/16 i 89/18), na koju se uplaćuju doprinosi za penzijsko i invalidsko osiguranje, zdravstveno osiguranje i osiguranje za vrijeme nezaposlenosti."/>
    <m/>
    <m/>
    <m/>
    <m/>
    <s v="Neinstitucionalizirana prava"/>
  </r>
  <r>
    <n v="59"/>
    <x v="26"/>
    <x v="25"/>
    <x v="0"/>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59"/>
    <x v="26"/>
    <x v="25"/>
    <x v="1"/>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59"/>
    <x v="26"/>
    <x v="25"/>
    <x v="2"/>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59"/>
    <x v="26"/>
    <x v="25"/>
    <x v="3"/>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59"/>
    <x v="26"/>
    <x v="25"/>
    <x v="4"/>
    <x v="2"/>
    <x v="7"/>
    <m/>
    <m/>
    <m/>
    <m/>
    <s v="Član 11._x000a_(Naknada i doprinosi)_x000a_(4) U slučaju smrti lica sa invaliditetom, roditelj njegovatelj ostvaruje pravo na naknadu troškova ukopa – sahrane umrlog lica na isti način kako je to, drugim zakonima, regulisano za zaposlenike federalnih organa."/>
    <m/>
    <m/>
    <m/>
    <m/>
    <s v="Neinstitucionalizirana prava"/>
  </r>
  <r>
    <n v="60"/>
    <x v="27"/>
    <x v="1"/>
    <x v="0"/>
    <x v="0"/>
    <x v="7"/>
    <m/>
    <m/>
    <m/>
    <m/>
    <m/>
    <m/>
    <m/>
    <m/>
    <m/>
    <s v="Neinstitucionalizirana prava"/>
  </r>
  <r>
    <n v="60"/>
    <x v="27"/>
    <x v="1"/>
    <x v="1"/>
    <x v="0"/>
    <x v="7"/>
    <m/>
    <m/>
    <m/>
    <m/>
    <m/>
    <m/>
    <m/>
    <m/>
    <m/>
    <s v="Neinstitucionalizirana prava"/>
  </r>
  <r>
    <n v="60"/>
    <x v="27"/>
    <x v="1"/>
    <x v="2"/>
    <x v="0"/>
    <x v="7"/>
    <m/>
    <m/>
    <m/>
    <m/>
    <m/>
    <m/>
    <m/>
    <m/>
    <m/>
    <s v="Neinstitucionalizirana prava"/>
  </r>
  <r>
    <n v="60"/>
    <x v="27"/>
    <x v="1"/>
    <x v="3"/>
    <x v="0"/>
    <x v="7"/>
    <m/>
    <m/>
    <m/>
    <m/>
    <m/>
    <m/>
    <m/>
    <m/>
    <m/>
    <s v="Neinstitucionalizirana prava"/>
  </r>
  <r>
    <n v="60"/>
    <x v="27"/>
    <x v="1"/>
    <x v="4"/>
    <x v="0"/>
    <x v="7"/>
    <m/>
    <m/>
    <m/>
    <m/>
    <m/>
    <m/>
    <m/>
    <m/>
    <m/>
    <s v="Neinstitucionalizirana prava"/>
  </r>
  <r>
    <n v="11"/>
    <x v="28"/>
    <x v="26"/>
    <x v="1"/>
    <x v="0"/>
    <x v="0"/>
    <s v="Ložionička 2, 71000 Sarajevo, Bosna i Hercegovina"/>
    <s v="https://www.kzzosa.ba/"/>
    <n v="38733725207"/>
    <s v="info@kzzosa.ba"/>
    <s v="Odluka o utvrđivanju programa za dijagnostiku i liječenje teško oboljele djece"/>
    <s v="Zahtjev za refundaciju troškova, odnosno za plaćanje troškova po izdatom predračunu, se dostavlja ZZO KS (odlučuje posebna komisija). Uz zahtjev se dostavlja medicinska dokumentacija iz koje se može cijeniti oboljenje, te utvrditi da se u ugovornim ustanovama KS usluga ne može pružiti, originalni račun ili predračun, potvrda prebivališta. Pravo se ne odnosi na listu oboljenja koja finansira Fond solidarnosti pri Zavodu zdravstvenog osiguranja i reosiguranja FBiH"/>
    <s v=" "/>
    <s v=" "/>
    <s v=" "/>
    <s v="Administrativni postupci"/>
  </r>
  <r>
    <n v="11"/>
    <x v="28"/>
    <x v="26"/>
    <x v="2"/>
    <x v="0"/>
    <x v="0"/>
    <s v="Ložionička 2, 71000 Sarajevo, Bosna i Hercegovina"/>
    <s v="https://www.kzzosa.ba/"/>
    <n v="38733725207"/>
    <s v="info@kzzosa.ba"/>
    <s v="Odluka o utvrđivanju programa za dijagnostiku i liječenje teško oboljele djece"/>
    <s v="Zahtjev za refundaciju troškova, odnosno za plaćanje troškova po izdatom predračunu, se dostavlja ZZO KS (odlučuje posebna komisija). Uz zahtjev se dostavlja medicinska dokumentacija iz koje se može cijeniti oboljenje, te utvrditi da se u ugovornim ustanovama KS usluga ne može pružiti, originalni račun ili predračun, potvrda prebivališta. Pravo se ne odnosi na listu oboljenja koja finansira Fond solidarnosti pri Zavodu zdravstvenog osiguranja i reosiguranja FBiH"/>
    <s v=" "/>
    <s v=" "/>
    <s v=" "/>
    <s v="Administrativni postupci"/>
  </r>
  <r>
    <n v="12"/>
    <x v="29"/>
    <x v="27"/>
    <x v="1"/>
    <x v="0"/>
    <x v="14"/>
    <s v="Bulevar Meše Selimovića 97_x000a__x000a_71000 Sarajevo, BiH"/>
    <s v="https://www.novigradsarajevo.ba"/>
    <n v="38733291190"/>
    <s v=" adisasuman@novigradsarajevo.ba_x000a_"/>
    <s v="Tekući transferi, na osnovu Zakona o principima lokalne samouprave u Federaciji Bosne i Hercegovine (“Službene novine Federacije Bosne i Hercegovine” broj: 49/06 i 51/09), člana 9. i 15. Odluke o organizaciji jedinstvenog općinskog organa uprave Općine Novi Grad Sarajevo (“Službene novine Kantona Sarajevo” broj 6/17), Budžeta  Općine Novi Grad Sarajevo za 2023. godinu („Službene novine Kantona Sarajevo“, broj: 2/23)"/>
    <s v="Zahtjev prema općini  "/>
    <s v="zahtjev dostavljen putem protokola Općine Novi Grad Sarajevo,_x000a_prijave mjesta prebivališta – na uvid,_x000a_dokumentacije koju daje izabrani doktor/specijalista na osnovu koje je utvrđena potreba za medicinskim pomagalom, kao i druga dokumetacija kojom se dokazuje potreba za korištenje istog,_x000a_predračun za nabavku GPS narukvice,_x000a_po potrebi i drugi dokazi iz kojih je vidljiva opravdanost zahtjeva,_x000a_izjava o saglasnosti za obradu ličnih podataka u vezi sa predmetnim zahtjevom."/>
    <s v="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s v="Transferi, samo na općini Novi Grad Sarajevo"/>
    <s v="Administrativni postupci"/>
  </r>
  <r>
    <n v="12"/>
    <x v="29"/>
    <x v="27"/>
    <x v="2"/>
    <x v="0"/>
    <x v="14"/>
    <s v="Bulevar Meše Selimovića 97_x000a__x000a_71000 Sarajevo, BiH"/>
    <s v="https://www.novigradsarajevo.ba"/>
    <n v="38733291190"/>
    <s v=" adisasuman@novigradsarajevo.ba_x000a_"/>
    <s v="Tekući transferi, na osnovu Zakona o principima lokalne samouprave u Federaciji Bosne i Hercegovine (“Službene novine Federacije Bosne i Hercegovine” broj: 49/06 i 51/09), člana 9. i 15. Odluke o organizaciji jedinstvenog općinskog organa uprave Općine Novi Grad Sarajevo (“Službene novine Kantona Sarajevo” broj 6/17), Budžeta  Općine Novi Grad Sarajevo za 2023. godinu („Službene novine Kantona Sarajevo“, broj: 2/23)"/>
    <s v="Zahtjev prema općini  "/>
    <s v="zahtjev dostavljen putem protokola Općine Novi Grad Sarajevo,_x000a_prijave mjesta prebivališta – na uvid,_x000a_dokumentacije koju daje izabrani doktor/specijalista na osnovu koje je utvrđena potreba za medicinskim pomagalom, kao i druga dokumetacija kojom se dokazuje potreba za korištenje istog,_x000a_predračun za nabavku GPS narukvice,_x000a_po potrebi i drugi dokazi iz kojih je vidljiva opravdanost zahtjeva,_x000a_izjava o saglasnosti za obradu ličnih podataka u vezi sa predmetnim zahtjevom."/>
    <s v="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s v="Transferi, samo na općini Novi Grad Sarajevo"/>
    <s v="Administrativni postupci"/>
  </r>
  <r>
    <n v="29"/>
    <x v="30"/>
    <x v="28"/>
    <x v="1"/>
    <x v="6"/>
    <x v="10"/>
    <s v="Butmirska cesta 12,71210 Ilidža, Bosna i Hercegovina"/>
    <s v="https://www.opcinailidza.ba/"/>
    <n v="38733775723"/>
    <s v="Edina.Icindic@opcinailidza.ba"/>
    <s v="Na osnovu Instrukcije Minstarstva saobraćaja KS broj: 04-11-28646-2-2/21 KM od 6. 8. 2021. godine učenicima_x000a_koji za prijevoz koriste putnički automobil pripada naknada u visini 15% cijene litre benzina BMB 95 na teritoriji_x000a_Bosne i Hercegovine po pređenom kilometru na relaciji od lokacije stanovanja do obrazovne ustanove koju pohađa i_x000a_nazad u dane kada putuje na nastavne aktivnosti._x000a_Naknada za učenike i pratioce koji koriste javni prijevoz obračunava se visini cijene prijevozne karte iz putničke_x000a_tarife za prijevoz sredstvom javnog linijskog prijevoza putnika na području KS koji mogu upotrijebiti na relaciji od_x000a_lokacije stanovanja do obrazovne ustanove koju učenik/ca pohađa i nazad."/>
    <s v="Zahtjev prema općini na osnovu kojeg se provodi postupak"/>
    <s v="•_x0009_potvrda  o upisu učenika u školu/centar_x000a_•_x0009_potvrda škole da nema osiguran prijevoz_x000a_•_x0009_Cips prijava  učenika i roditelja-pratioca_x000a_•_x0009_medicinska dokumentacija _x000a_•_x0009_saobraćajna dozvola -automibil kojim se učenik prevozi_x000a_•_x0009_ovjerena izjava o udaljenosti od mjesta stanovanja do škole _x000a_•_x0009_broj transakcijskog računa"/>
    <s v="https://www.opcinailidza.ba/uploads/files/shares/Elektronski_formulari/sl_obraz/zahtjev%20za%20sno%C5%A1enje%20tro%C5%A1kova%20prijevoza.pdf"/>
    <m/>
    <s v="Administrativni postupci"/>
  </r>
  <r>
    <n v="29"/>
    <x v="30"/>
    <x v="28"/>
    <x v="2"/>
    <x v="6"/>
    <x v="10"/>
    <s v="Butmirska cesta 12,71210 Ilidža, Bosna i Hercegovina"/>
    <s v="https://www.opcinailidza.ba/"/>
    <n v="38733775723"/>
    <s v="Edina.Icindic@opcinailidza.ba"/>
    <s v="Na osnovu Instrukcije Minstarstva saobraćaja KS broj: 04-11-28646-2-2/21 KM od 6. 8. 2021. godine učenicima_x000a_koji za prijevoz koriste putnički automobil pripada naknada u visini 15% cijene litre benzina BMB 95 na teritoriji_x000a_Bosne i Hercegovine po pređenom kilometru na relaciji od lokacije stanovanja do obrazovne ustanove koju pohađa i_x000a_nazad u dane kada putuje na nastavne aktivnosti._x000a_Naknada za učenike i pratioce koji koriste javni prijevoz obračunava se visini cijene prijevozne karte iz putničke_x000a_tarife za prijevoz sredstvom javnog linijskog prijevoza putnika na području KS koji mogu upotrijebiti na relaciji od_x000a_lokacije stanovanja do obrazovne ustanove koju učenik/ca pohađa i nazad."/>
    <s v="Zahtjev prema općini na osnovu kojeg se provodi postupak"/>
    <s v="•_x0009_potvrda  o upisu učenika u školu/centar_x000a_•_x0009_potvrda škole da nema osiguran prijevoz_x000a_•_x0009_Cips prijava  učenika i roditelja-pratioca_x000a_•_x0009_medicinska dokumentacija _x000a_•_x0009_saobraćajna dozvola -automibil kojim se učenik prevozi_x000a_•_x0009_ovjerena izjava o udaljenosti od mjesta stanovanja do škole _x000a_•_x0009_broj transakcijskog računa"/>
    <s v="https://www.opcinailidza.ba/uploads/files/shares/Elektronski_formulari/sl_obraz/zahtjev%20za%20sno%C5%A1enje%20tro%C5%A1kova%20prijevoza.pdf"/>
    <m/>
    <s v="Administrativni postupci"/>
  </r>
  <r>
    <n v="48"/>
    <x v="31"/>
    <x v="29"/>
    <x v="1"/>
    <x v="6"/>
    <x v="15"/>
    <m/>
    <m/>
    <m/>
    <m/>
    <m/>
    <m/>
    <m/>
    <m/>
    <m/>
    <s v="Diskrecione usluge"/>
  </r>
  <r>
    <n v="47"/>
    <x v="32"/>
    <x v="30"/>
    <x v="1"/>
    <x v="0"/>
    <x v="16"/>
    <s v="Bolnička 4, Sarajevo"/>
    <s v="https://sf.unsa.ba/pruzanje-oralno-hirurskih-i-stomatoloskih-usluga-za-djecu-sa-poteskocama-u-razvoju/"/>
    <n v="38733214249"/>
    <m/>
    <m/>
    <m/>
    <s v="https://sf.unsa.ba/pruzanje-oralno-hirurskih-i-stomatoloskih-usluga-za-djecu-sa-poteskocama-u-razvoju/"/>
    <s v="https://sf.unsa.ba/pruzanje-oralno-hirurskih-i-stomatoloskih-usluga-za-djecu-sa-poteskocama-u-razvoju/"/>
    <m/>
    <s v="Diskrecione usluge"/>
  </r>
  <r>
    <n v="47"/>
    <x v="32"/>
    <x v="30"/>
    <x v="2"/>
    <x v="0"/>
    <x v="16"/>
    <s v="Bolnička 4, Sarajevo"/>
    <s v="https://sf.unsa.ba/pruzanje-oralno-hirurskih-i-stomatoloskih-usluga-za-djecu-sa-poteskocama-u-razvoju/"/>
    <n v="38733214249"/>
    <m/>
    <m/>
    <m/>
    <s v="https://sf.unsa.ba/pruzanje-oralno-hirurskih-i-stomatoloskih-usluga-za-djecu-sa-poteskocama-u-razvoju/"/>
    <s v="https://sf.unsa.ba/pruzanje-oralno-hirurskih-i-stomatoloskih-usluga-za-djecu-sa-poteskocama-u-razvoju/"/>
    <m/>
    <s v="Diskrecione usluge"/>
  </r>
  <r>
    <n v="17"/>
    <x v="33"/>
    <x v="31"/>
    <x v="3"/>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Zakon o Radu FBiH: &quot;Član 8._x000a_Zaposlenik, kome prestane radni odnos, prijavom službi za zapošljavanje, ostvaruje pravo na zdravstvenu zaštitu u slucaju bolesti i invalidnosti, pravo na materijalno osiguranje i druga prava za vrijeme nezaposlenosti, u skladu sa zakonom.&quot;"/>
    <s v="(matični ured mjesta rodjenja maloljetne osobe)"/>
    <s v="1. Kopija lične karte;_x000a_ 2. Kopija prijave mjesta boravišta–prebivališta;_x000a_ 3. Kopija rodnog lista;_x000a_ 4. Potvrda sa Biroa za zapošljavanje; _x000a_5. Uvjerenje PIO–MIO;_x000a_ 6. Uvjerenje o kretanju iz MUP–a;_x000a_ 7. Kopija svjedočanstva;_x000a_ 8. Kopija diplome;_x000a_ 9. Potvrda mjesne zajednice;_x000a_ 10. Nalaz o kategorizaciji._x000a_Napomena: Sve kopije moraju biti ovjerene u općinskom organu uprave."/>
    <s v="https://kcsr.ba/file/kcsr9/266"/>
    <m/>
    <s v="Administrativni postupci"/>
  </r>
  <r>
    <n v="18"/>
    <x v="34"/>
    <x v="32"/>
    <x v="3"/>
    <x v="6"/>
    <x v="17"/>
    <s v="Vilsonovo šetalište 10"/>
    <s v="https://fond.ba/"/>
    <n v="38733717740"/>
    <s v="info@fond.ba"/>
    <s v="Zakon o profesionalnoj rehabilitaciji, osposobljavanju i zapošljavanju osoba sa invaliditetom („Sl. novine FBiH“ 9/10), Fond za profesionalnu rehabilitaciju i zapošljavanje osoba sa invaliditetom objavljuje javne pozive iz oblasti profesionalne rehabilitacije (Fond). "/>
    <s v="Prijava na javni poziv od strane Fonda"/>
    <s v="Dvije (2) mjenične izjave_x000a_Mjenične izjave ćete dobiti u Fondu ali ukoliko osoba sa invaliditetom opunomoćuje nekoga drugog za potpis Ugovora, dužna je po istom dostaviti dvije mjenične izjave koje može preuzeti OVDJE. Na ove mjenične izjave, osoba sa invaliditetom dužna je staviti samo pečat i potpis bez popunjavanja ostalih podataka._x000a_Ukoliko se neko drugi ovlašćuje da potpiše Ugovor sa Fondom, potrebno je dostaviti punomoć ovjerenu kod notara ili punomoć koja je ovjerena u općini, u kojoj piše „Da može potpisati ugovor sa Fondom za profesionalnu rehabilitaciju i zapošljavanje osoba sa invaliditetom i svu ostalu dokumentaciju vezano za zaključenje ugovora“._x000a_Potvrda o priznavanju prava na profesionalnu rehabilitaciju od strane Službe za zapošljavanje ukoliko nije dostavljena uz aplikaciju (ORIGINAL)._x000a_Dokaz o izvršenom upisu u predmetnu školsku/akademsku godinu (ugovor o školovanju/studiranju – ovjerena fotokopija ili potvrda obrazovne ustanove – original), ukoliko ista nije dostavljena uz aplikaciju._x000a_Potvrda banke sa naznačenim brojem tekućeg računa za osobu sa invaliditetom – lični račun ne starija od 15 dana._x000a_Ukoliko je osoba u međuvremenu uplatila sredstva za školovanje obrazovnoj ustanovi (djelimično ili u potpunosti), dostavlja originalni dokaz o uplati sredstava (virman, uplatnica, potvrda školske ustanove) ukoliko isti nije dostavila uz aplikaciju."/>
    <s v="https://fond.ba/uputstvo-za-potpisivanje-ugovora-programi-9/"/>
    <s v="Federalni nivo!"/>
    <s v="Administrativni postupci"/>
  </r>
  <r>
    <n v="55"/>
    <x v="35"/>
    <x v="33"/>
    <x v="3"/>
    <x v="5"/>
    <x v="7"/>
    <m/>
    <m/>
    <m/>
    <m/>
    <s v="Član 64_x000a__x000a_Nakon isteka godine dana života djeteta, jedan od roditelja ima pravo da radi polovinu punog radnog vremena do tri godine života djeteta, ako je djetetu, prema nalazu nadležne zdravstvene ustanove, potrebna pojačana briga i njega._x000a__x000a_Član 69_x000a__x000a_(1) Jedan od roditelja djeteta sa težim smetnjama u razvoju (teže hendikepiranog djeteta) ima pravo da radi polovinu punog radnog vremena, u slučaju da se radi o samohranom roditelju ili da su oba roditelja zaposlena, pod uvjetom da dijete nije smješteno u ustanovu socijalno - zdravstvenog zbrinjavanja, na osnovu nalaza nadležne zdravstvene ustanove._x000a__x000a_(2) Roditelju, koji koristi pravo iz stava 1. ovog člana, pripada pravo na naknadu plaće, u skladu sa zakonom._x000a__x000a_(3) Roditelju koji koristi pravo iz stava 1. ovog člana, ne može se narediti da radi noću, prekovremeno i ne može mu se promijeniti mjesto rada, ako za to nije dao svoj pisani pristanak."/>
    <m/>
    <m/>
    <m/>
    <m/>
    <s v="Neinstitucionalizirana prava"/>
  </r>
  <r>
    <n v="57"/>
    <x v="36"/>
    <x v="34"/>
    <x v="3"/>
    <x v="5"/>
    <x v="7"/>
    <m/>
    <m/>
    <m/>
    <m/>
    <s v="Članak 15._x000a_Osobe s invaliditetom upošljavaju se i rade na tržištu rada pod opdim i posebnim uvjetima._x000a_Pod općim uvjetima upošljavaju se osobe s invaliditetom na otvorenome tržištu rada, u državnim tijelima, tijelima_x000a_pravosuđa, tijelima lokalne uprave, javnim službama, ustanovama, fondovima, javnim poduzećima, gospodarskim društvima i drugim pravnim osobama koje nisu osnovane za upošljavanje osoba s invaliditetom, sukladno zakonu._x000a_Prednost pri upošljavanju u subjektima iz stavka 2. ovoga članka u okviru javnoga sektora imaju osobe s invaliditetom ako, pored općih, ispunjavaju i posebne uvjete za radno mjesto._x000a_Pod posebnim uvjetima upošljavaju se osobe s invaliditetom u ustanovi ili gospodarskom društvu što su osnovani radi upošljavanja osoba s invaliditetom."/>
    <m/>
    <m/>
    <m/>
    <m/>
    <s v="Neinstitucionalizirana prava"/>
  </r>
  <r>
    <n v="3"/>
    <x v="37"/>
    <x v="35"/>
    <x v="3"/>
    <x v="2"/>
    <x v="18"/>
    <s v="La Benevolencija 16"/>
    <s v="https://mup.ks.gov.ba/sites/mup.ks.gov.ba/files/2023-01/obrasci_znak_pristupacnosti.pdf"/>
    <n v="38733226445"/>
    <m/>
    <s v="Zakon o osnovama sigurnosti saobraćaja na putevima u Bosni i Hercegovini („Službeni glasnik Bosne i Hercegovine“ br. 6/06, 75/06 – ispravka, 44/07, 84/09, 48/10, 18/13, 8/17, 89/17, 9/18 i 46/23); Zakon o upravnom postupku (“Službene novine Federacije Bosne i Hercegovine” br. 2/98, 48/99 i 61/22); Pravilnik o obilježavanju vozila kojim upravlja osoba sa oštećenim ekstremitetima ili kojim se prevozi osoba sa invaliditetom 100% („Službeni glasnik Bosne i Hercegovine“ 54/17)"/>
    <s v="Zahtjev prema MUP-u KS - ispostavama po općinama"/>
    <s v="•_x0009_Posljednje izdato rješenje o stepenu oštećenja ekstremiteta bitnog za upravljanje vozilom ili posljednji nalaz, ocjenu ili mišljenje izdato od tijela entiteta Bosne i Hercegovine, kantona nadležnih za utvrđivanje stepena oštećenja ekstremiteta_x000a_•_x0009_Dvije fotografije dimenzija 30×35 mm_x000a_•_x0009_Lična karta (na uvid)_x000a_•_x0009_Vozačka dozvola (na uvid)_x000a_•_x0009_Potvrda da je vozilo u vlasništvu osobe sa oštećenim ekstremitetima ili da se vozilo koristi po osnovu Ugovora o lizingu_x000a_•_x0009_Potvrda da je vozilo u vlasništvu osobe sa invaliditetom 100% ili roditelja, staratelja ili člana domaćinstva osobe sa 100% invaliditetom ili da se vozilo koristi po osnovu Ugovora o lizingu_x000a_•_x0009_Posljednje rješenje ili posljednji nalaz, ocjenu ili mišljenje o stepenu invaliditeta 100%, izdato od tijela entiteta Bosne i Hercegovine, kantona nadležnih za utvrđivanje stepena invaliditeta_x000a_•_x0009_Dokaz o statusu roditelja, staratelja ili člana domaćinstva osobe sa 100% invaliditetom_x000a_•_x0009_Rješenje o registraciji udruženja_x000a_•_x0009_Potvrda da je vozilo u vlasništvu udruženja ili da se vozilo koristi po osnovu Ugovora o lizingu_x000a_•_x0009_Posljednje rješenje ili posljednji nalaz, ocjenu ili mišljenje o stepenu invaliditeta 100%, izdato od tijela entiteta Bosne i Hercegovine, kantona nadležnih za utvrđivanje stepena invaliditeta za nekoliko članova udruženja_x000a_•_x0009_Dokaz da su osobe sa invaliditetom 100% članovi udruženja_x000a_"/>
    <s v="https://ap.ks.gov.ba/administrativni-postupak/izdavanje-znaka-pristupacnosti"/>
    <s v="https://mup.ks.gov.ba/sites/mup.ks.gov.ba/files/2023-01/obrasci_znak_pristupacnosti.pdf"/>
    <s v="Administrativni postupci"/>
  </r>
  <r>
    <n v="3"/>
    <x v="37"/>
    <x v="35"/>
    <x v="4"/>
    <x v="2"/>
    <x v="18"/>
    <s v="La Benevolencija 16"/>
    <s v="https://mup.ks.gov.ba/sites/mup.ks.gov.ba/files/2023-01/obrasci_znak_pristupacnosti.pdf"/>
    <n v="38733226445"/>
    <m/>
    <s v="Zakon o osnovama sigurnosti saobraćaja na putevima u Bosni i Hercegovini („Službeni glasnik Bosne i Hercegovine“ br. 6/06, 75/06 – ispravka, 44/07, 84/09, 48/10, 18/13, 8/17, 89/17, 9/18 i 46/23); Zakon o upravnom postupku (“Službene novine Federacije Bosne i Hercegovine” br. 2/98, 48/99 i 61/22); Pravilnik o obilježavanju vozila kojim upravlja osoba sa oštećenim ekstremitetima ili kojim se prevozi osoba sa invaliditetom 100% („Službeni glasnik Bosne i Hercegovine“ 54/17)"/>
    <s v="Zahtjev prema MUP-u KS - ispostavama po općinama"/>
    <s v="•_x0009_Posljednje izdato rješenje o stepenu oštećenja ekstremiteta bitnog za upravljanje vozilom ili posljednji nalaz, ocjenu ili mišljenje izdato od tijela entiteta Bosne i Hercegovine, kantona nadležnih za utvrđivanje stepena oštećenja ekstremiteta_x000a_•_x0009_Dvije fotografije dimenzija 30×35 mm_x000a_•_x0009_Lična karta (na uvid)_x000a_•_x0009_Vozačka dozvola (na uvid)_x000a_•_x0009_Potvrda da je vozilo u vlasništvu osobe sa oštećenim ekstremitetima ili da se vozilo koristi po osnovu Ugovora o lizingu_x000a_•_x0009_Potvrda da je vozilo u vlasništvu osobe sa invaliditetom 100% ili roditelja, staratelja ili člana domaćinstva osobe sa 100% invaliditetom ili da se vozilo koristi po osnovu Ugovora o lizingu_x000a_•_x0009_Posljednje rješenje ili posljednji nalaz, ocjenu ili mišljenje o stepenu invaliditeta 100%, izdato od tijela entiteta Bosne i Hercegovine, kantona nadležnih za utvrđivanje stepena invaliditeta_x000a_•_x0009_Dokaz o statusu roditelja, staratelja ili člana domaćinstva osobe sa 100% invaliditetom_x000a_•_x0009_Rješenje o registraciji udruženja_x000a_•_x0009_Potvrda da je vozilo u vlasništvu udruženja ili da se vozilo koristi po osnovu Ugovora o lizingu_x000a_•_x0009_Posljednje rješenje ili posljednji nalaz, ocjenu ili mišljenje o stepenu invaliditeta 100%, izdato od tijela entiteta Bosne i Hercegovine, kantona nadležnih za utvrđivanje stepena invaliditeta za nekoliko članova udruženja_x000a_•_x0009_Dokaz da su osobe sa invaliditetom 100% članovi udruženja_x000a_"/>
    <s v="https://ap.ks.gov.ba/administrativni-postupak/izdavanje-znaka-pristupacnosti"/>
    <s v="https://mup.ks.gov.ba/sites/mup.ks.gov.ba/files/2023-01/obrasci_znak_pristupacnosti.pdf"/>
    <s v="Administrativni postupci"/>
  </r>
  <r>
    <n v="10"/>
    <x v="38"/>
    <x v="36"/>
    <x v="3"/>
    <x v="0"/>
    <x v="19"/>
    <s v="Reisa Džemaludina Čauševića 1, Sarajevo"/>
    <s v="https://mz.ks.gov.ba/"/>
    <n v="38733562027"/>
    <s v="jasminka.ramic@mz.ks.gov.ba"/>
    <s v="Zakon o dopunskim pravima boraca-branitelja Bosne i Hercegovine, član 7. (“Službene novine FBiH” br:2/02 i 28/03 ); Odluka o proširenom obimu prava za korištenje ortopedskih pomagala, lijekova, medicinsko-sanitetskih sprava i materijala za ratne vojne invalide sa područja Kantona Sarajevo, član 1. (“Službene novine Kantona Sarajevo” br: 13/04, 11/06 i 16/11 )"/>
    <m/>
    <s v="https://mz.ks.gov.ba/node/7923"/>
    <s v="https://mz.ks.gov.ba/node/7923"/>
    <m/>
    <s v="Administrativni postupci"/>
  </r>
  <r>
    <n v="10"/>
    <x v="38"/>
    <x v="36"/>
    <x v="4"/>
    <x v="0"/>
    <x v="19"/>
    <s v="Reisa Džemaludina Čauševića 1, Sarajevo"/>
    <s v="https://mz.ks.gov.ba/"/>
    <n v="38733562027"/>
    <s v="jasminka.ramic@mz.ks.gov.ba"/>
    <s v="Zakon o dopunskim pravima boraca-branitelja Bosne i Hercegovine, član 7. (“Službene novine FBiH” br:2/02 i 28/03 ); Odluka o proširenom obimu prava za korištenje ortopedskih pomagala, lijekova, medicinsko-sanitetskih sprava i materijala za ratne vojne invalide sa područja Kantona Sarajevo, član 1. (“Službene novine Kantona Sarajevo” br: 13/04, 11/06 i 16/11 )"/>
    <m/>
    <s v="https://mz.ks.gov.ba/node/7923"/>
    <s v="https://mz.ks.gov.ba/node/7923"/>
    <m/>
    <s v="Administrativni postupci"/>
  </r>
  <r>
    <n v="14"/>
    <x v="39"/>
    <x v="37"/>
    <x v="2"/>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m/>
    <s v="https://kcsr.ba/file/kcsr20/273"/>
    <s v="https://kcsr.ba/file/kcsr20/273"/>
    <m/>
    <s v="Administrativni postupci"/>
  </r>
  <r>
    <n v="29"/>
    <x v="30"/>
    <x v="38"/>
    <x v="2"/>
    <x v="6"/>
    <x v="20"/>
    <s v="Mis Irbina 1, 71000 Sarajevo, BiH"/>
    <s v="https://www.centar.ba/gradjani/put-do-pravahttps://centar.ba/gradjani/put-do-prava/porodica/skolovanje/naknada-troskova-prijevoza-djece-sa-invaliditetom"/>
    <n v="38733562472"/>
    <s v="lejla.dizdarevic@centar.ba"/>
    <s v="Na osnovu Instrukcije Minstarstva saobraćaja KS broj: 04-11-28646-2-2/21 KM od 6. 8. 2021. godine učenicima_x000a_koji za prijevoz koriste putnički automobil pripada naknada u visini 15% cijene litre benzina BMB 95 na teritoriji_x000a_Bosne i Hercegovine po pređenom kilometru na relaciji od lokacije stanovanja do obrazovne ustanove koju pohađa i_x000a_nazad u dane kada putuje na nastavne aktivnosti._x000a_Naknada za učenike i pratioce koji koriste javni prijevoz obračunava se visini cijene prijevozne karte iz putničke_x000a_tarife za prijevoz sredstvom javnog linijskog prijevoza putnika na području KS koji mogu upotrijebiti na relaciji od_x000a_lokacije stanovanja do obrazovne ustanove koju učenik/ca pohađa i nazad."/>
    <s v="Zahtjev prema općini na osnovu kojeg se provodi postupak"/>
    <s v=" Potvrda o upisu učenika/ce u tekuću školsku godinu       _x000a_Dokumentacija kojom se dokazuje invalidnost  – rješenje o invalidnosti (potrebno dostaviti samo u slučaju kada se prvi put podnosi zahtjev);           _x000a_Potvrda o evidenciji prebivališta / boravišta lica CIPS/MUP KS     _x000a_Izjava korisnika pomoći/zakonskog zastupnika o udaljenosti obrazovne ustanove do mjesta stanovanja sa tačno naznačenom kilometražom u oba pravca; _x000a_Potvrda od banke o otvorenom računu podnosioca zahtjeva – kopija bankovnog računa   (ukoliko roditelj / staratelj dostavlja svoj transakcijski račun (potvrdu od banke), potrebno je da dostavi i svoju CIPS potvrdu o evidenciji prebivališta)"/>
    <s v="https://centar.ba/documents/preview/93713/13-15-zahtjev-za-naknadu-troskova-prijevoza-djece-sa-invaliditetom"/>
    <m/>
    <s v="Administrativni postupci"/>
  </r>
  <r>
    <n v="29"/>
    <x v="30"/>
    <x v="39"/>
    <x v="2"/>
    <x v="6"/>
    <x v="14"/>
    <s v="Bulevar Meše Selimovića 97_x000a__x000a_71000 Sarajevo, BiH"/>
    <s v="https://www.novigradsarajevo.ba"/>
    <n v="38733291190"/>
    <s v=" adisasuman@novigradsarajevo.ba_x000a_"/>
    <s v="Na osnovu Instrukcije Minstarstva saobraćaja KS broj: 04-11-28646-2-2/21 KM od 6. 8. 2021. godine učenicima_x000a_koji za prijevoz koriste putnički automobil pripada naknada u visini 15% cijene litre benzina BMB 95 na teritoriji_x000a_Bosne i Hercegovine po pređenom kilometru na relaciji od lokacije stanovanja do obrazovne ustanove koju pohađa i_x000a_nazad u dane kada putuje na nastavne aktivnosti._x000a_Naknada za učenike i pratioce koji koriste javni prijevoz obračunava se visini cijene prijevozne karte iz putničke_x000a_tarife za prijevoz sredstvom javnog linijskog prijevoza putnika na području KS koji mogu upotrijebiti na relaciji od_x000a_lokacije stanovanja do obrazovne ustanove koju učenik/ca pohađa i nazad."/>
    <s v="Zahtjev prema općini na osnovu kojeg se provodi postupak"/>
    <s v="Potvrda/uvjerenje o upisu učenika/korisnika u obrazovnu ustanovu za školsku 2023/2024. godinu_x000a_(original)_x000a_2. CIPS-ova prijavanica za učenika/ korisnika i staratelja/pratioca (ovjerena kopija, ne starija od tri_x000a_mjeseca)_x000a_3. Dokumentacija kojom se dokazuje postojanje poteškoća u kretanju za učenika/ korisnika_x000a_4. Ovjerena izjava korisnika pomoći/zakonskog zastupnika da nema obezbijeđen prijevoz po drugom_x000a_osnovu_x000a_5. Učenici/korisnici koji za prijevoz koriste putnički automobil (Ovjerena izjava zakonskog zastupnika)_x000a_6. Ovjerena izjava zakonskog zastupnika/korisnika o udaljenosti obrazovne ustanove do mjesta_x000a_stanovanja sa obavezno naznačenom kilometražom u oba pravca_x000a_7. Broj transakcijskog računa za uplatu sredstava_x000a_8. Kopija iskaznice za roditelja/staratelja/ pratioca i učenika ukoliko se zahtjev odnosi na kupovinu_x000a_kupona za javni linijski saobraćaj (sa jasno vidljivom cijenom kupona)_x000a_9. Potpisana izjava – saglasnost za obradu podataka (na poleđini Zahtjeva)"/>
    <s v="https://www.novigradsarajevo.ba/document/zahtjev-za-naknadu-troskova-prijevoza-ucenika-ca-s-poteskocama-u-kretanju/"/>
    <m/>
    <s v="Administrativni postupci"/>
  </r>
  <r>
    <n v="32"/>
    <x v="40"/>
    <x v="40"/>
    <x v="2"/>
    <x v="6"/>
    <x v="21"/>
    <s v=" Reisa Džemaludina Čauševića 1, 71000 Sarajevo     "/>
    <s v="https://mo.ks.gov.ba/kontakti"/>
    <n v="38733562128"/>
    <s v="mo@mo.ks.gov.ba "/>
    <s v="Zakon o osnovnom odgoju i obrazovanju (Službene novine Kantona Sarajevo, 23/2017, 33/2017, 30/2019, 34/2020, 33/2021)_x000a_Pravilnik o inkluzivnom obrazovanju (Službene novine Kantona Sarajevo, 32/19)"/>
    <s v="Nije definisan; Nema upute kako &quot;započeti&quot; proces za roditelja/dijete. Definirano je da ustanova/centar treba da se obrati ministarstvu za dodatnu podršku, ministarstvo rješava zahtjeve (prema obrascu) za 15 dana."/>
    <s v="Nije definisano"/>
    <s v="N/a"/>
    <m/>
    <s v="Diskrecione usluge"/>
  </r>
  <r>
    <n v="44"/>
    <x v="41"/>
    <x v="41"/>
    <x v="2"/>
    <x v="6"/>
    <x v="7"/>
    <m/>
    <m/>
    <m/>
    <m/>
    <m/>
    <s v="Nije definisan; Nema upute kako &quot;započeti&quot; proces za roditelja/dijete. Definirano je da ustanova/centar treba da se obrati ministarstvu za dodatnu podršku, ministarstvo rješava zahtjeve (prema obrascu) za 15 dana."/>
    <m/>
    <m/>
    <m/>
    <s v="Diskrecione usluge"/>
  </r>
  <r>
    <n v="45"/>
    <x v="42"/>
    <x v="42"/>
    <x v="2"/>
    <x v="6"/>
    <x v="21"/>
    <s v="Reisa Džemaludina Čauševića 1, 71000 Sarajevo     "/>
    <s v="https://mo.ks.gov.ba/kontakti"/>
    <n v="38733562128"/>
    <s v="mo@mo.ks.gov.ba "/>
    <s v="Zakon o osnovnom odgoju i obrazovanju (Službene novine Kantona Sarajevo, 23/2017, 33/2017, 30/2019, 34/2020, 33/2021)_x000a_Pravilnik o inkluzivnom obrazovanju (Službene novine Kantona Sarajevo, 32/19)"/>
    <s v="Nije definisan; Nema upute kako &quot;započeti&quot; proces za roditelja/dijete. Definirano je da ustanova/centar treba da se obrati ministarstvu za dodatnu podršku, ministarstvo rješava zahtjeve (prema obrascu) za 15 dana."/>
    <s v="Nije definisano"/>
    <s v="N/a"/>
    <m/>
    <s v="Diskrecione usluge"/>
  </r>
  <r>
    <n v="51"/>
    <x v="43"/>
    <x v="43"/>
    <x v="2"/>
    <x v="6"/>
    <x v="7"/>
    <m/>
    <m/>
    <m/>
    <m/>
    <s v="Član 39_x000a__x000a_Djeca i odrasle osobe koje se nalaze na specijalnom školovanju imaju pravo na dnevni boravak u specijalnim ustanovama ili smještaj u ustanovama internatskog tipa ukoliko je takav boravak ili smještaj preporučen mišljenjem Stručne komisije, odnosno Stručne institucije"/>
    <m/>
    <m/>
    <m/>
    <m/>
    <s v="Neinstitucionalizirana prava"/>
  </r>
  <r>
    <n v="54"/>
    <x v="44"/>
    <x v="44"/>
    <x v="2"/>
    <x v="6"/>
    <x v="7"/>
    <m/>
    <m/>
    <m/>
    <m/>
    <s v="Član 35_x000a__x000a_Pravo na osposobljavanje za život i rad obezbjeđuje se djeci ometenoj u fizičkom ili psihičkom razvoju i djeci kod kojih postoji invalidnost prouzrokovana povredom ili bolešću do navršenih 15 godina života kroz osnovno školovanje u redovnim školama ili školama specijalnog tipa koje mogu imati internatski smještaj._x000a__x000a_Izuzetno od prethodnog stava, pravo na školovanje i osposobljavanje za život i rad ostvaruju djeca do navršenih 18 godina života, ukoliko zbog fizičkih ili psihičkih smetnji nisu bila u stanju završiti osnovno školovanje i osposobljavanje za život i rad u predviđenom roku."/>
    <m/>
    <m/>
    <m/>
    <m/>
    <s v="Neinstitucionalizirana prava"/>
  </r>
  <r>
    <n v="56"/>
    <x v="45"/>
    <x v="45"/>
    <x v="2"/>
    <x v="6"/>
    <x v="7"/>
    <m/>
    <m/>
    <m/>
    <m/>
    <s v="Član 36_x000a__x000a_Djeca ometena u fizičkom ili psihičkom razvoju sa navršenih 15 godina, odnosno 18 godina života, ostvaruju pravo na školovanje i osposobljavanje za samostalni život i rad kroz redovne srednje škole ili srednje škole specijalnog tipa kojemogu imati internatski smještaj, ako su ispunjeni slijedeći uvjeti:_x000a__x000a_- da je dijete završilo osnovno obrazovanje;_x000a__x000a_- da postoji vjerovatnost da se dijete, s obzirom na ometenost u fizičkom ili psihičkom razvoju i stepen preostale sposobnosti, može primjenom ovog prava osposobiti za samostalan život i rad;_x000a__x000a_- da postoji vjerovatnoća da se osposobljavanje djeteta može postići u trajanju do četiri godine._x000a__x000a_Pravo na školovanje i osposobljavanje za život i rad obezbjeđuje se djetetu do navršenih 26 godina života, odnosno i poslije navršenih 26 godina života, ukoliko je to pravo ranije uspostavljeno, a najkasnije do navršenih 29 godina života."/>
    <m/>
    <m/>
    <m/>
    <m/>
    <s v="Neinstitucionalizirana prava"/>
  </r>
  <r>
    <n v="38"/>
    <x v="46"/>
    <x v="46"/>
    <x v="2"/>
    <x v="7"/>
    <x v="22"/>
    <m/>
    <m/>
    <m/>
    <m/>
    <m/>
    <s v="Zahtjev za oslobadjanje od plaćanja carine podnosi se nadležnoj carinskoj upravi"/>
    <s v="- nalaz ocjena ili mišljenje o stepenu oštećenja ekstremiteta bitnog za upravljanje vozilom izdatog od strane organa entiteta, BiH i Brčko distrikta BiH,_x000a_- dvije fotografije dimenzija 30 s 35 mm,_x000a_- lična karta na uvid i_x000a_- fotokopija potvrde o vlasništvu nad motornim vozilom."/>
    <m/>
    <m/>
    <s v="Diskrecione usluge"/>
  </r>
  <r>
    <n v="38"/>
    <x v="46"/>
    <x v="46"/>
    <x v="3"/>
    <x v="7"/>
    <x v="22"/>
    <m/>
    <m/>
    <m/>
    <m/>
    <m/>
    <s v="Zahtjev za oslobadjanje od plaćanja carine podnosi se nadležnoj carinskoj upravi"/>
    <s v="- nalaz ocjena ili mišljenje o stepenu oštećenja ekstremiteta bitnog za upravljanje vozilom izdatog od strane organa entiteta, BiH i Brčko distrikta BiH,_x000a_- dvije fotografije dimenzija 30 s 35 mm,_x000a_- lična karta na uvid i_x000a_- fotokopija potvrde o vlasništvu nad motornim vozilom."/>
    <m/>
    <m/>
    <s v="Diskrecione usluge"/>
  </r>
  <r>
    <n v="38"/>
    <x v="46"/>
    <x v="46"/>
    <x v="4"/>
    <x v="7"/>
    <x v="22"/>
    <m/>
    <m/>
    <m/>
    <m/>
    <m/>
    <s v="Zahtjev za oslobadjanje od plaćanja carine podnosi se nadležnoj carinskoj upravi"/>
    <s v="- nalaz ocjena ili mišljenje o stepenu oštećenja ekstremiteta bitnog za upravljanje vozilom izdatog od strane organa entiteta, BiH i Brčko distrikta BiH,_x000a_- dvije fotografije dimenzija 30 s 35 mm,_x000a_- lična karta na uvid i_x000a_- fotokopija potvrde o vlasništvu nad motornim vozilom."/>
    <m/>
    <m/>
    <s v="Diskrecione usluge"/>
  </r>
  <r>
    <n v="1"/>
    <x v="47"/>
    <x v="47"/>
    <x v="4"/>
    <x v="2"/>
    <x v="23"/>
    <s v="Aleja Bosne Srebrene 7_x000a_71000 Sarajevo"/>
    <s v="https://www.gcs.ba"/>
    <n v="38733777260"/>
    <s v="info@gcs.ba"/>
    <s v="Zakon o socijalnoj zaštiti, zaštiti civilnih žrtava rata i zaštiti porodice sa djecom („Službene novine Kantona Sarajevo“ br. 38/14 – Prečišćeni tekst, 38/16, 44/17 i 28/18), član 7. i 89._x000a_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_x000a_"/>
    <s v="•_x0009_Status korisnika Centra za dnevni boravak se ostvaruje podnošenjem zahtjeva od strane osobe koja će biti korisnik usluga ili člana njegove uže porodice ili staratelja ukoliko ga ima."/>
    <s v="Uz zahtjev za korištenje usluga Centra za dnevni boravak prilažu se sljedeći dokumenti osobe koja će biti korisnik ovih usluga:_x000a_1) kopija lične karte (na uvid) i_x000a_2) kopija zdravstvene dokumentacije - nalazi ljekara, kao dokaz zdravstvenog stanja, ne starija od 6 mjeseci od dana podnošenja zahtjeva._x000a__x000a_•_x0009_U zahtjevu se navode usluge koje će se koristiti._x000a_"/>
    <m/>
    <m/>
    <s v="Administrativni postupci"/>
  </r>
  <r>
    <n v="5"/>
    <x v="48"/>
    <x v="48"/>
    <x v="4"/>
    <x v="2"/>
    <x v="23"/>
    <s v="Reisa Džemaludina Čauševića 1, Sarajevo"/>
    <m/>
    <m/>
    <m/>
    <s v="Zakon o osnovama socijalne zaštite, zaštite civilnih žrtava rata i zaštite porodice sa djecom („Službene novine FBiH“ broj: 36/99, 54/04, 39/06, 14/09, 45/16, 40/18), član 12 i 19 i 47_x000a_Zakon o socijalnoj zaštiti, zaštiti civilnih žrtava rata i zaštiti porodice sa djecom („Službene novine Kantona sarajevo“ br. 38/14 – Prečišćeni tekst, 38/16, 44/17 i 28/18), član 7 i 89,_x000a_Pravilnik o načinu prijema i otpustu korisnika usluga Kantonalne javne ustanove „Gerontološki centar“ Sarajevo broj 12-783/18 od 04.06.2018. godine i Pravilnik o izmjenama i dopunama Pravilnika o načinu prijema i otpustu korisnika usluga Kantonalne javne ustanove „Gerontološki centar“ Sarajevo, broj:12-1678/18 od 28.12.2018. godine"/>
    <m/>
    <m/>
    <m/>
    <s v="Cijena usluga Kućne njege i pomoći u kući naplaćuje se po satu i iznosi 10,00 KM."/>
    <s v="Administrativni postupci"/>
  </r>
  <r>
    <n v="6"/>
    <x v="49"/>
    <x v="49"/>
    <x v="4"/>
    <x v="2"/>
    <x v="20"/>
    <s v="Mis Irbina 1, 71000 Sarajevo, BiH"/>
    <s v="https://www.centar.ba/gradjani/put-do-prava/porodica/treca-zivotna-dob"/>
    <n v="38733562379"/>
    <s v="info@centar.ba"/>
    <m/>
    <s v="Osnovni uvjeti za ostvarivanje prava su:_x000a__x000a_ _x000a__x000a_prebivalište na području općine Centar Sarajevo od najmanje jedne godine do dana podnošenja zahtjeva ili boravište po osnovu statusa raseljene osobe;_x000a_da je podnosilac zahtjeva penzioner ili lice starije od 60. godina bez primanja;_x000a_da se lijek za koji se traži jednokratna novčana pomoć ne finansira ili djelimično sufinansira putem Zavoda zdravstvenog osiguranja;_x000a_da ukupna primanja porodičnog domaćinstva podnosioca zahtjeva ne prelaze iznos dvije minimalne penzije ostvarene u FBiH prema posljednjim statističkim pokazateljima;"/>
    <s v="uvjerenje o kretanju za podnosioca zahtjeva;_x000a_prijava prebivališta za članove porodičnog domaćinstva podnosioca zahtjeva;_x000a_kućna lista;_x000a_Dokaz da je podnosilac zahtjeva penzioner ili lice preko 60 godina bez primanja;_x000a_Potvrda o visini primanja za sve punoljetne članove domaćinstva;_x000a_Dokaz o nezaposlenosti članova porodičnog domaćinstva ukoliko nisu u radnom odnosu;_x000a_Preporuka nadležnog ljekara o potrebi korištenja određenog lijeka;_x000a_Predračun apoteke za lijek koji je potreban a koji se ne finansira ili sufinansira putem Zavoda zdravstvenog osiguranja KS."/>
    <s v="https://www.centar.ba/gradjani/put-do-prava/socijalna-zastita/socijalna-zastita/kupovina-lijekova-penzionerima-i-licima-preko-60-godina-starosti-bez-primanja"/>
    <s v="Za socijalno ugrožene"/>
    <s v="Administrativni postupci"/>
  </r>
  <r>
    <n v="16"/>
    <x v="50"/>
    <x v="50"/>
    <x v="4"/>
    <x v="2"/>
    <x v="3"/>
    <s v="Gatačka 80, Sarajevo"/>
    <s v="https://kcsr.ba/"/>
    <n v="38733723635"/>
    <s v="mirsada@kcsr.ba"/>
    <s v="Zakon o osnovama socijalne zaštite zaštite civilnih žrtava rata i zaštite porodice sa djecom Federacije BiH_x000a_Zakon o socijalnoj zaštiti, zaštiti civilnih žrtava rata i zaštiti porodice sa djecom Kantona Sarajevo"/>
    <s v="(općina prema mjestu prebivališta podnosioca zahtjeva)_x000a_(dokaz o primanjima – potvrda o visini ličnog dohotka, potvrda Službe za zapošljavanje, potvrda PIO, potvrda škole/fakulteta)_x000a_(poreska uprava -prema mjestu prebivališta/boravišta podnosioca zahtjeva)"/>
    <s v="https://kcsr.ba/file/kcsr6/263"/>
    <s v="https://kcsr.ba/file/kcsr6/263"/>
    <m/>
    <s v="Administrativni postupci"/>
  </r>
  <r>
    <n v="16"/>
    <x v="50"/>
    <x v="50"/>
    <x v="4"/>
    <x v="2"/>
    <x v="20"/>
    <s v="Mis Irbina 1, 71000 Sarajevo, BiH"/>
    <s v="https://www.centar.ba/gradjani/put-do-prava/porodica/treca-zivotna-dob"/>
    <n v="38733562379"/>
    <s v=" info@centar.ba"/>
    <s v="Zakon o osnovama socijalne zaštite zaštite civilnih žrtava rata i zaštite porodice sa djecom Federacije BiH_x000a_Zakon o socijalnoj zaštiti, zaštiti civilnih žrtava rata i zaštiti porodice sa djecom Kantona Sarajevo"/>
    <s v="Osnovni uvjeti za ostvarivanje prava su:_x000a__x000a_da podnosilac zahtjeva ima prebivalište na području općine Centar Sarajevo najmanje jednu godinu do dana podnošenja zahtjeva ili boravište po osnovu statusa raseljene osobe;_x000a_da je podnosilac zahtjeva penzioner ili lice starije od 60. godina bez primanja;_x000a_da ukupna primanja porodičnog domaćinstva podnosioca zahtjeva ne prelaze iznos dvije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_x000a_da je podnosiocu zahtjeva putem nadležnog Centra za socijalni rad utvrđeno pravo na tuđu njegu i pomoć od strane druge osobe."/>
    <s v="Uvjerenje o kretanju podnosioca zahtjeva;_x000a_dokaz da je podnosilac zahtjeva penzioner ili lice preko 60 godina bez primanja;_x000a_dokaz o visini primanja za sve punoljetne članove domaćinstva;_x000a_rješenje nadležne Službe socijalne zaštite/Centar za socijalni rad o priznatom pravu na tuđu njegu i pomoć od strane druge osobe."/>
    <s v="https://www.centar.ba/gradjani/put-do-prava/socijalna-zastita/socijalna-zastita/novcana-pomoc-za-troskove-kucne-njege"/>
    <s v="Za socijalno ugrožene"/>
    <s v="Administrativni postupci"/>
  </r>
  <r>
    <n v="23"/>
    <x v="51"/>
    <x v="51"/>
    <x v="4"/>
    <x v="2"/>
    <x v="23"/>
    <s v="Aleja Bosne Srebrene 7_x000a_71000 Sarajevo"/>
    <s v="https://www.gcs.ba"/>
    <n v="38733777260"/>
    <s v="info@gcs.ba"/>
    <s v="•_x0009_Zakon o osnovama socijalne zaštite, zaštite civilnih žrtava rata i zaštite porodice sa djecom („Službene novine FBiH“ broj: 36/99, 54/04, 39/06, 14/09, 45/16, 40/18), član 12., 16., 19., 41. i 45._x000a_Zakon o socijalnoj zaštiti, zaštiti civilnih žrtava rata i zaštiti porodice sa djecom („Službene novine Kantona Sarajevo“ br. 38/14 – Prečišćeni tekst, 38/16, 44/17 i 28/18), član 7. i 89.,_x000a_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_x000a_"/>
    <s v="•_x0009_Status korisnika usluga smještaja u Gerontološkom centru može steći punoljetna osoba na osnovu ličnog zahtjeva osobe, zahtjeva člana njegove uže porodice ili zakonskog staratelja ukoliko ga ima ili druge fizičke osobe ukoliko osoba nema članova uže porodice ili isti borave izvan Bosne i Hercegovine i isti ovlaste drugu fizičku osobu da u njihovo ime podnese zahtjev i zaključi ugovor o korištenju usluga. Zahtjev za smještaj se podnosi u pisanom obliku, na propisanom obrascu, koji osim ličnih podataka osobe koja će koristiti uslugu, sadrži i podatke o podnosiocu zahtjeva, podatke o potpisniku / supotpisniku ugovora o smještaju te vrsti usluge. Kompletiran zahtjev sa potrebnom dokumentacijom neposredno se predaje šefu službe za socijalni rad ili socijalnom radniku Gerontološkog centra. Zahtjev obavezno potpisuju osobe koje će biti potpisnik i supotpisnik ugovora i na taj način prihvataju obavezu plaćanja ili nadoplaćivanja troškova (cijene) usluge (naručilac usluge-obveznik plaćanja)."/>
    <s v="•_x0009_UVJERENJE O DRŽAVLJANSTVU, ne starije od 6 mjeseci – ovjerena kopija;_x000a_•_x0009_IZVOD IZ MATIČNE KNJIGE ROĐENIH , ne stariji od 6 mjeseci – ovjerena kopija;_x000a_•_x0009_LIČNA KARTA – ovjerena kopija (na uvid);_x000a_•_x0009_POTVRDA O PRIJAVI PREBIVALIŠTA (CIPS), ne starija od 30 dana – ili ovjerena kopija;_x000a_•_x0009_ZDRAVSTVENA KNJIŽICA – ovjerena kopija;_x000a_•_x0009_POSLJEDNJI ČEK OD PENZIJE (ako je penzioner) – kopija;_x000a_•_x0009_POTVRDA O OTVORENOM TEKUĆEM RAČUNU ZA KORISNIKA USLUGA_x000a_(korisnik ima obavezu da otvori trajni nalog kojim će osigurati prijenos sredstava na transakcijski račun KJU „Gerontološki centar“ Sarajevo u svrhu plaćanja usluga, najkasnije sedam dana od dana prijema);_x000a_•_x0009_RJEŠENJE O STARATELJSTVU (ako se radi o osobi pod starateljstvom) – ovjerena kopija;_x000a_•_x0009_POTVRDA LJEKARA DA NE BOLUJE OD ZARAZNIH BOLESTI, NITI PSIHIČKOG OBOLJENJA, ne starija od 30 dana – ovjerena kopija;_x000a_•_x0009_POTVRDA ZA PORODICE ŠEHIDA/POG. BORACA ILI RVI ILI CŽR;_x000a_•_x0009_ZDRAVSTVENA DOKUMENTACIJA – nalazi ljekara, kao dokaz zdravstvenog stanja, ne starije od 6 mjeseci od dana podnošenja zahtjeva._x000a_"/>
    <m/>
    <s v="•_x0009_Za nezavisne / pokretne korisnike – 407,00 KM mjesečno,_x000a_Za zavisne / nepokretne korisnike – 627,00 KM mjesečno,_x000a_Jednokrevetna soba – 700,00 KM mjesečno_x000a_"/>
    <s v="Administrativni postupci"/>
  </r>
  <r>
    <n v="26"/>
    <x v="52"/>
    <x v="52"/>
    <x v="4"/>
    <x v="2"/>
    <x v="23"/>
    <s v="Aleja Bosne Srebrene 7_x000a_71000 Sarajevo"/>
    <s v="https://www.gcs.ba"/>
    <n v="38733777260"/>
    <s v="info@gcs.ba"/>
    <s v="•_x0009_Član 42. Zakona o osnovama socijalne zaštite, zaštite civilnih žrtava rata i zaštite porodice sa djecom (“Službene novine Federacije BiH”, br. 36/99, 54/04, 39/06, 14/09, 45/16 i 40/18._x000a_•_x0009_Članovi 56., 57. i 58. Zakona o socijalnoj zaštiti, zaštiti civilnih žrtava rata i zaštiti porodice sa djecom (“Službene novine Kantona Sarajevo”, broj 38/14 - Prečišćeni tekst, 38/16, 44/17 i 28/18)._x000a_"/>
    <s v="•_x0009_Zahtjev za smještaj u KJU “Gerontološki centar” podnosi se putem nadležnog centra za socijalni rad prema mjestu prebivališta osobe. Centar za socijalni rad o smještaju odlučuje donošenjem rješenja. O smještaju osobe zaključuje se ugovor između JU “Kantonalni centar” za socijalni rad” i KJU “Gerontološki centar”."/>
    <s v="Dokumentaciju potrebnu za ostvarivanje prava na smještaj u KJU “Gerontološki centar” putem Centra za socijalni rad utvrđuje nadležni centar za socijalni rad."/>
    <m/>
    <s v="•_x0009_Smještaj u KJU “Gerontološki centar” putem nadležnog centra za socijalni rad može ostvariti stara, bolesna, nemoćna i invalidna osoba koja nema srodnika koji su obavezni na izdržavanje ili ukoliko srodnici obavezni na izdržavanje, ne mogu obezbijediti uslove za zadovoljavanje osnovnih životnih potreba. •_x0009_Mjesečna cijena za smještaj nezavisne / pokretne osobe iznosi 407,00 KM, a zavisne / nepokretne osobe iznosi 627,00 KM."/>
    <s v="Administrativni postupci"/>
  </r>
  <r>
    <n v="27"/>
    <x v="53"/>
    <x v="49"/>
    <x v="4"/>
    <x v="2"/>
    <x v="20"/>
    <s v="Mis Irbina 1, 71000 Sarajevo, BiH"/>
    <s v="https://www.centar.ba/gradjani/put-do-prava/porodica/treca-zivotna-dob"/>
    <n v="38733562379"/>
    <s v=" info@centar.ba"/>
    <m/>
    <s v="Osnovni uvjeti za ostvarivanje prava su:_x000a__x000a_da podnosilac zahtjeva ima prebivalište na području općine Centar Sarajevo od najmanje jedne godine do dana podnošenja zahtjeva ili boravište po osnovu statusa raseljene osobe;_x000a_da je podnosilac zahtjeva penzioner ili lice starije od 60. godina bez primanja;_x000a_da ukupna primanja porodičnog domaćinstva podnosioca zahtjeva ne prelaze iznos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_x000a_da nitko od članova porodičnog domaćinstva podnosioca zahtjeva nije vlasnik preduzeća, samostalne ili dopunske djelatnosti;_x000a_da nitko od članova porodičnog domaćinstva podnosioca zahtjeva nije vlasnik niti posjednik motornog vozila; _x000a_da podnosilac zahtjeva nema riješeno stambeno pitanje;_x000a_ukoliko je stambeno pitanje riješeno, da podnosilac zahtjeva nije vlasnik stana u zgradi kolektivnog stanovanja većeg od 50m² za jednočlano domaćinstvo a ukoliko se radi o višečlanom domaćinstvu za svakog narednog člana dodaje se 10m² po članu;_x000a_ukoliko je stambeno pitanje riješeno, da podnosilac zahtjeva nije vlasnik stana u individualnom stambenom objektu većeg od 60m² za jednočlano domaćinstvo  a ukoliko se radi o višečlanom domaćinstvu za svakog narednog člana dodaje se 15m² po članu."/>
    <s v="uvjerenje o kretanju za podnosioca zahtjeva;_x000a_prijava prebivališta za članove porodičnog domaćinstva podnosioca zahtjeva;_x000a_kućna lista;_x000a_Dokaz da je podnosilac zahtjeva penzioner ili lice preko 60 godina bez primanja;_x000a_Potvrda o visini primanja za sve punoljetne članove domaćinstva; _x000a_Dokaz o nezaposlenosti članova porodičnog domaćinstva ukoliko nisu u radnom odnosu;_x000a_Uvjerenje da li su punoljetni članovi porodičnog domaćinstva poreski obveznici;_x000a_Uvjerenje o vlasništvu motornog vozila za sve članove porodičnog domaćinstva;_x000a_Dokaz o kvadraturi stambene jedinice ;_x000a_Medicinska dokumentacije za oboljele članove porodičnog domaćinstva;_x000a_tekući račun podnosioca zahtjeva."/>
    <s v="https://www.centar.ba/gradjani/put-do-prava/socijalna-zastita/socijalna-zastita/stalna-novcana-pomoc-za-kupovinu-hljeba-i-mlijeka-lica-starija-od-60-godina-bez-primanja"/>
    <s v="Za socijalno ugrožene"/>
    <s v="Administrativni postupci"/>
  </r>
  <r>
    <n v="28"/>
    <x v="54"/>
    <x v="49"/>
    <x v="4"/>
    <x v="2"/>
    <x v="20"/>
    <s v="Mis Irbina 1, 71000 Sarajevo, BiH"/>
    <s v="https://www.centar.ba/gradjani/put-do-prava/porodica/treca-zivotna-dob"/>
    <n v="38733562379"/>
    <s v=" info@centar.ba"/>
    <m/>
    <s v="Osnovni uvjeti za ostvarivanje prava su:_x000a__x000a_da podnosilac zahtjeva ima prebivalište na području općine Centar Sarajevo od najmanje jedne godine do dana podnošenja zahtjeva ili boravište po osnovu statusa raseljene osobe;_x000a_da je podnosilac zahtjeva penzioner ili lice starije od 60. godina bez primanja;_x000a_da ukupna primanja porodičnog domaćinstva podnosioca zahtjeva ne prelaze iznos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_x000a_da nitko od članova porodičnog domaćinstva podnosioca zahtjeva nije vlasnik preduzeća, samostalne ili dopunske djelatnosti;_x000a_da nitko od članova porodičnog domaćinstva podnosioca zahtjeva nije vlasnik niti posjednik motornog vozila; _x000a_da podnosilac zahtjeva nema riješeno stambeno pitanje;_x000a_ukoliko je stambeno pitanje riješeno, da podnosilac zahtjeva nije vlasnik stana u zgradi kolektivnog stanovanja većeg od 50m² za jednočlano domaćinstvo a ukoliko se radi o višečlanom domaćinstvu za svakog narednog člana dodaje se 10m² po članu;_x000a_ukoliko je stambeno pitanje riješeno, da podnosilac zahtjeva nije vlasnik stana u individualnom stambenom objektu većeg od 60m² za jednočlano domaćinstvo  a ukoliko se radi o višečlanom domaćinstvu za svakog narednog člana dodaje se 15m² po članu."/>
    <s v="uvjerenje o kretanju za podnosioca zahtjeva;_x000a_prijava prebivališta za članove porodičnog domaćinstva podnosioca zahtjeva;_x000a_kućna lista;_x000a_Dokaz da je podnosilac zahtjeva penzioner ili lice preko 60 godina bez primanja;_x000a_Potvrda o visini primanja za sve punoljetne članove domaćinstva; _x000a_Dokaz o nezaposlenosti članova porodičnog domaćinstva ukoliko nisu u radnom odnosu;_x000a_Uvjerenje da li su punoljetni članovi porodičnog domaćinstva poreski obveznici;_x000a_Uvjerenje o vlasništvu motornog vozila za sve članove porodičnog domaćinstva;_x000a_Dokaz o kvadraturi stambene jedinice ;_x000a_Medicinska dokumentacije za oboljele članove porodičnog domaćinstva;_x000a_tekući račun podnosioca zahtjeva."/>
    <s v="https://www.centar.ba/gradjani/put-do-prava/socijalna-zastita/socijalna-zastita/stalna-novcana-pomoc-za-kupovinu-hljeba-i-mlijeka-penzioneri-sa-minimalnom-penzijom"/>
    <s v="Za socijalno ugrožene"/>
    <s v="Administrativni postupci"/>
  </r>
  <r>
    <n v="30"/>
    <x v="55"/>
    <x v="53"/>
    <x v="4"/>
    <x v="0"/>
    <x v="2"/>
    <m/>
    <m/>
    <m/>
    <m/>
    <s v="•_x0009_Zakon o socijalnoj zaštiti, zaštiti civilnih žrtava rata i zaštiti porodice sa djecom („Službene novine Kantona Sarajevo“ br. 38/14 – Prečišćeni tekst, 38/16, 44/17 i 28/18); čl. 146. st. 1., 2. i 5._x000a_•_x0009_Instrukcija o iznosima novčanih davanja po Zakonu o socijalnoj zaštiti, zaštiti civilnih žrtava rata i zaštiti porodice sa djecom – Instrukciju svake kalendarske godine donosi ministar za rad, socijalnu politiku, raseljena lica i izbjeglice Kantona Sarajevo._x000a_"/>
    <s v="_x000a_•_x0009_Zahtjev za ostvarivanje prava podnosi se općini, nadležnoj službi po mjestu prebivališta podnosioca zahtjeva._x000a_•_x0009_Vodi se upravni postupak u kojem se utvrđuje ispunjavanje uslova za ostvarivanje prava na zdravstvenu zaštitu._x000a_•_x0009_Podnosilac zahtjeva ima pravo žalbe na rješenje prvostepenog organa kojim nije ostvario pravo na zdravstvenu zaštitu, kao i pokretanje upravnog spora pred Kantonalnim sudom u Sarajevu._x000a_"/>
    <s v="_x000a_•_x0009_ovjerena kopija lične karte;_x000a_•_x0009_uvjerenje o državljanstvu;_x000a_•_x0009_CIPS prijava prebivališta;_x000a_•_x0009_uvjerenje o kretanju za podnosioca zahtjeva;_x000a_•_x0009_kućna lista;_x000a_•_x0009_dokazi o prihodima domaćinstva;_x000a_•_x0009_za djecu do 18 godina - izvod iz matične knjige rođenih;_x000a_•_x0009_Ostale dokaze će služba socijalne zaštite pribaviti po službenoj dužnosti u skladu sa obavezom iz čl. 134. stav (3) i 135. stav (2) Zakona o upravnom postupku, kao i druge dokaze po ocjeni voditelja postupka neophodne za utvrđivanje ispunjenosti uslova za ostvarivanje prava._x000a_"/>
    <m/>
    <s v="Uslovi za korištenje prava / usluge:_x000a_•_x0009_da je podnosilac zahtjeva državljanin Bosne i Hercegovine;_x000a_•_x0009_da podnosilac zahtjeva ima prebivalište najmanje godinu dana u Kantonu Sarajevo;_x000a_•_x0009_godine života i_x000a_•_x0009_da nije osiguran po drugom osnovu_x000a_"/>
    <s v="Administrativni postupci"/>
  </r>
  <r>
    <n v="35"/>
    <x v="56"/>
    <x v="54"/>
    <x v="4"/>
    <x v="2"/>
    <x v="10"/>
    <s v="Butmirska cesta 12, prvi sprat"/>
    <m/>
    <n v="387733637384"/>
    <s v="sejda.topalovic@opcinailidza.ba"/>
    <s v="Raspodjela na osnovu evidencije mjesnih zajednica"/>
    <s v="N/a"/>
    <s v="N/a"/>
    <s v="N/a"/>
    <m/>
    <s v="Diskrecione usluge"/>
  </r>
  <r>
    <n v="24"/>
    <x v="57"/>
    <x v="55"/>
    <x v="0"/>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24"/>
    <x v="57"/>
    <x v="55"/>
    <x v="1"/>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24"/>
    <x v="57"/>
    <x v="55"/>
    <x v="2"/>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24"/>
    <x v="57"/>
    <x v="55"/>
    <x v="3"/>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24"/>
    <x v="57"/>
    <x v="55"/>
    <x v="4"/>
    <x v="0"/>
    <x v="24"/>
    <s v="Ložionička 2, 71000 Sarajevo, Bosna i Hercegovina"/>
    <s v="https://www.kzzosa.ba/"/>
    <n v="38733725207"/>
    <s v="info@kzzosa.ba"/>
    <s v="Ugovor sa zdravstveno-socijalnom ustanovom "/>
    <s v="Porodični ljekari, prema kriterijumima utvrđenim od Ministarstva zdravstva KS, pacijenta u terminalnoj fazi bolesti upućuje u zdravstveno-socijalnu ustanovu na odgovarajuću skrb (medicinska i psihološka podrška)"/>
    <s v=" "/>
    <s v=" "/>
    <s v=" "/>
    <s v="Administrativni postupci"/>
  </r>
  <r>
    <n v="37"/>
    <x v="58"/>
    <x v="56"/>
    <x v="4"/>
    <x v="8"/>
    <x v="25"/>
    <s v="Bulevar Meše Selimovića 12"/>
    <m/>
    <m/>
    <m/>
    <m/>
    <s v="Zahtjev za ostvarenje prava podnosi se Radio–televiziji Bosne i Hercegovine u Sarajevu."/>
    <s v="Zahtjev_x000a_Kopija lične karte_x000a_Kućna lista_x000a_Dokument o starateljstvu koji izdaje centar za socijalni rad u mjestu prebivališta_x000a__x000a_Kopiju lične karte;_x000a_Kućnu listu;_x000a_Dokument o starateljstvu (ako ga imate) koji izdaje centar za socijalni rad u mjestu prebivališta"/>
    <m/>
    <m/>
    <s v="Diskrecione usluge"/>
  </r>
  <r>
    <n v="37"/>
    <x v="58"/>
    <x v="56"/>
    <x v="3"/>
    <x v="8"/>
    <x v="25"/>
    <s v="Bulevar Meše Selimovića 12"/>
    <m/>
    <m/>
    <m/>
    <m/>
    <s v="Zahtjev za ostvarenje prava podnosi se Radio–televiziji Bosne i Hercegovine u Sarajevu."/>
    <s v="Zahtjev_x000a_Kopija lične karte_x000a_Kućna lista_x000a_Dokument o starateljstvu koji izdaje centar za socijalni rad u mjestu prebivališta_x000a__x000a_Kopiju lične karte;_x000a_Kućnu listu;_x000a_Dokument o starateljstvu (ako ga imate) koji izdaje centar za socijalni rad u mjestu prebivališta"/>
    <m/>
    <m/>
    <s v="Diskrecione usluge"/>
  </r>
  <r>
    <n v="43"/>
    <x v="59"/>
    <x v="1"/>
    <x v="2"/>
    <x v="9"/>
    <x v="7"/>
    <m/>
    <m/>
    <m/>
    <m/>
    <s v="http://www.sluzbenilist.ba/page/akt/lbKAkKGaEwg="/>
    <m/>
    <m/>
    <m/>
    <m/>
    <s v="Diskrecione usluge"/>
  </r>
  <r>
    <n v="43"/>
    <x v="59"/>
    <x v="1"/>
    <x v="3"/>
    <x v="9"/>
    <x v="7"/>
    <m/>
    <m/>
    <m/>
    <m/>
    <s v="http://www.sluzbenilist.ba/page/akt/lbKAkKGaEwg="/>
    <m/>
    <m/>
    <m/>
    <m/>
    <s v="Diskrecione usluge"/>
  </r>
  <r>
    <n v="43"/>
    <x v="59"/>
    <x v="1"/>
    <x v="4"/>
    <x v="9"/>
    <x v="7"/>
    <m/>
    <m/>
    <m/>
    <m/>
    <s v="http://www.sluzbenilist.ba/page/akt/lbKAkKGaEwg="/>
    <m/>
    <m/>
    <m/>
    <m/>
    <s v="Diskrecione uslu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35653E-3F3D-41C5-B70A-E522D18EB69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80" firstHeaderRow="1" firstDataRow="1" firstDataCol="2"/>
  <pivotFields count="16">
    <pivotField compact="0" outline="0" showAll="0"/>
    <pivotField axis="axisRow" compact="0" outline="0" showAll="0">
      <items count="61">
        <item x="17"/>
        <item x="40"/>
        <item x="2"/>
        <item x="37"/>
        <item x="5"/>
        <item x="18"/>
        <item x="56"/>
        <item x="19"/>
        <item x="49"/>
        <item x="6"/>
        <item x="7"/>
        <item x="8"/>
        <item x="38"/>
        <item x="28"/>
        <item x="29"/>
        <item x="3"/>
        <item x="58"/>
        <item x="46"/>
        <item x="20"/>
        <item x="21"/>
        <item x="39"/>
        <item x="22"/>
        <item x="23"/>
        <item x="59"/>
        <item x="43"/>
        <item x="41"/>
        <item x="42"/>
        <item x="24"/>
        <item x="9"/>
        <item x="50"/>
        <item x="33"/>
        <item x="1"/>
        <item x="16"/>
        <item x="34"/>
        <item x="44"/>
        <item x="35"/>
        <item x="45"/>
        <item x="10"/>
        <item x="36"/>
        <item x="11"/>
        <item x="25"/>
        <item x="26"/>
        <item x="27"/>
        <item x="12"/>
        <item x="32"/>
        <item x="0"/>
        <item x="51"/>
        <item x="57"/>
        <item x="4"/>
        <item x="52"/>
        <item x="53"/>
        <item x="54"/>
        <item x="31"/>
        <item x="30"/>
        <item x="14"/>
        <item x="47"/>
        <item x="48"/>
        <item x="13"/>
        <item x="15"/>
        <item x="55"/>
        <item t="default"/>
      </items>
    </pivotField>
    <pivotField compact="0" outline="0" showAll="0">
      <items count="58">
        <item x="15"/>
        <item x="40"/>
        <item x="47"/>
        <item x="4"/>
        <item x="43"/>
        <item x="29"/>
        <item x="37"/>
        <item x="17"/>
        <item x="42"/>
        <item x="35"/>
        <item x="54"/>
        <item x="5"/>
        <item x="9"/>
        <item x="13"/>
        <item x="30"/>
        <item x="19"/>
        <item x="52"/>
        <item x="31"/>
        <item x="56"/>
        <item x="38"/>
        <item x="28"/>
        <item x="18"/>
        <item x="39"/>
        <item x="14"/>
        <item x="23"/>
        <item x="51"/>
        <item x="16"/>
        <item x="46"/>
        <item x="20"/>
        <item x="32"/>
        <item x="34"/>
        <item x="10"/>
        <item x="50"/>
        <item x="11"/>
        <item x="36"/>
        <item x="2"/>
        <item x="27"/>
        <item x="6"/>
        <item x="26"/>
        <item x="8"/>
        <item x="7"/>
        <item x="44"/>
        <item x="0"/>
        <item x="21"/>
        <item x="45"/>
        <item x="12"/>
        <item x="41"/>
        <item x="33"/>
        <item x="25"/>
        <item x="24"/>
        <item x="49"/>
        <item x="3"/>
        <item x="22"/>
        <item x="55"/>
        <item x="48"/>
        <item x="53"/>
        <item x="1"/>
        <item t="default"/>
      </items>
    </pivotField>
    <pivotField axis="axisRow" compact="0" outline="0" showAll="0">
      <items count="6">
        <item x="0"/>
        <item x="1"/>
        <item x="3"/>
        <item x="2"/>
        <item x="4"/>
        <item t="default"/>
      </items>
    </pivotField>
    <pivotField compact="0" outline="0" showAll="0">
      <items count="13">
        <item x="8"/>
        <item x="6"/>
        <item x="4"/>
        <item x="7"/>
        <item x="2"/>
        <item m="1" x="11"/>
        <item x="1"/>
        <item x="0"/>
        <item m="1" x="10"/>
        <item x="3"/>
        <item x="5"/>
        <item x="9"/>
        <item t="default"/>
      </items>
    </pivotField>
    <pivotField compact="0" outline="0" showAll="0">
      <items count="27">
        <item x="4"/>
        <item x="2"/>
        <item x="12"/>
        <item x="17"/>
        <item x="3"/>
        <item x="23"/>
        <item x="11"/>
        <item x="21"/>
        <item x="18"/>
        <item x="19"/>
        <item x="22"/>
        <item x="9"/>
        <item x="20"/>
        <item x="10"/>
        <item x="14"/>
        <item x="5"/>
        <item x="8"/>
        <item x="15"/>
        <item x="13"/>
        <item x="25"/>
        <item x="16"/>
        <item x="24"/>
        <item x="0"/>
        <item x="6"/>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1"/>
  </rowFields>
  <rowItems count="177">
    <i>
      <x/>
      <x/>
    </i>
    <i r="1">
      <x v="2"/>
    </i>
    <i r="1">
      <x v="4"/>
    </i>
    <i r="1">
      <x v="5"/>
    </i>
    <i r="1">
      <x v="7"/>
    </i>
    <i r="1">
      <x v="9"/>
    </i>
    <i r="1">
      <x v="10"/>
    </i>
    <i r="1">
      <x v="11"/>
    </i>
    <i r="1">
      <x v="15"/>
    </i>
    <i r="1">
      <x v="18"/>
    </i>
    <i r="1">
      <x v="19"/>
    </i>
    <i r="1">
      <x v="21"/>
    </i>
    <i r="1">
      <x v="22"/>
    </i>
    <i r="1">
      <x v="27"/>
    </i>
    <i r="1">
      <x v="28"/>
    </i>
    <i r="1">
      <x v="31"/>
    </i>
    <i r="1">
      <x v="32"/>
    </i>
    <i r="1">
      <x v="37"/>
    </i>
    <i r="1">
      <x v="39"/>
    </i>
    <i r="1">
      <x v="40"/>
    </i>
    <i r="1">
      <x v="41"/>
    </i>
    <i r="1">
      <x v="42"/>
    </i>
    <i r="1">
      <x v="43"/>
    </i>
    <i r="1">
      <x v="45"/>
    </i>
    <i r="1">
      <x v="47"/>
    </i>
    <i r="1">
      <x v="48"/>
    </i>
    <i r="1">
      <x v="54"/>
    </i>
    <i r="1">
      <x v="57"/>
    </i>
    <i r="1">
      <x v="58"/>
    </i>
    <i t="default">
      <x/>
    </i>
    <i>
      <x v="1"/>
      <x/>
    </i>
    <i r="1">
      <x v="2"/>
    </i>
    <i r="1">
      <x v="4"/>
    </i>
    <i r="1">
      <x v="5"/>
    </i>
    <i r="1">
      <x v="7"/>
    </i>
    <i r="1">
      <x v="9"/>
    </i>
    <i r="1">
      <x v="10"/>
    </i>
    <i r="1">
      <x v="11"/>
    </i>
    <i r="1">
      <x v="13"/>
    </i>
    <i r="1">
      <x v="14"/>
    </i>
    <i r="1">
      <x v="15"/>
    </i>
    <i r="1">
      <x v="18"/>
    </i>
    <i r="1">
      <x v="19"/>
    </i>
    <i r="1">
      <x v="21"/>
    </i>
    <i r="1">
      <x v="22"/>
    </i>
    <i r="1">
      <x v="27"/>
    </i>
    <i r="1">
      <x v="28"/>
    </i>
    <i r="1">
      <x v="32"/>
    </i>
    <i r="1">
      <x v="37"/>
    </i>
    <i r="1">
      <x v="39"/>
    </i>
    <i r="1">
      <x v="40"/>
    </i>
    <i r="1">
      <x v="41"/>
    </i>
    <i r="1">
      <x v="42"/>
    </i>
    <i r="1">
      <x v="43"/>
    </i>
    <i r="1">
      <x v="44"/>
    </i>
    <i r="1">
      <x v="45"/>
    </i>
    <i r="1">
      <x v="47"/>
    </i>
    <i r="1">
      <x v="48"/>
    </i>
    <i r="1">
      <x v="52"/>
    </i>
    <i r="1">
      <x v="53"/>
    </i>
    <i r="1">
      <x v="54"/>
    </i>
    <i r="1">
      <x v="57"/>
    </i>
    <i r="1">
      <x v="58"/>
    </i>
    <i t="default">
      <x v="1"/>
    </i>
    <i>
      <x v="2"/>
      <x/>
    </i>
    <i r="1">
      <x v="3"/>
    </i>
    <i r="1">
      <x v="4"/>
    </i>
    <i r="1">
      <x v="5"/>
    </i>
    <i r="1">
      <x v="7"/>
    </i>
    <i r="1">
      <x v="9"/>
    </i>
    <i r="1">
      <x v="10"/>
    </i>
    <i r="1">
      <x v="11"/>
    </i>
    <i r="1">
      <x v="12"/>
    </i>
    <i r="1">
      <x v="16"/>
    </i>
    <i r="1">
      <x v="17"/>
    </i>
    <i r="1">
      <x v="18"/>
    </i>
    <i r="1">
      <x v="19"/>
    </i>
    <i r="1">
      <x v="21"/>
    </i>
    <i r="1">
      <x v="22"/>
    </i>
    <i r="1">
      <x v="23"/>
    </i>
    <i r="1">
      <x v="27"/>
    </i>
    <i r="1">
      <x v="28"/>
    </i>
    <i r="1">
      <x v="30"/>
    </i>
    <i r="1">
      <x v="32"/>
    </i>
    <i r="1">
      <x v="33"/>
    </i>
    <i r="1">
      <x v="35"/>
    </i>
    <i r="1">
      <x v="37"/>
    </i>
    <i r="1">
      <x v="38"/>
    </i>
    <i r="1">
      <x v="39"/>
    </i>
    <i r="1">
      <x v="40"/>
    </i>
    <i r="1">
      <x v="41"/>
    </i>
    <i r="1">
      <x v="42"/>
    </i>
    <i r="1">
      <x v="43"/>
    </i>
    <i r="1">
      <x v="45"/>
    </i>
    <i r="1">
      <x v="47"/>
    </i>
    <i t="default">
      <x v="2"/>
    </i>
    <i>
      <x v="3"/>
      <x/>
    </i>
    <i r="1">
      <x v="1"/>
    </i>
    <i r="1">
      <x v="2"/>
    </i>
    <i r="1">
      <x v="4"/>
    </i>
    <i r="1">
      <x v="5"/>
    </i>
    <i r="1">
      <x v="7"/>
    </i>
    <i r="1">
      <x v="9"/>
    </i>
    <i r="1">
      <x v="10"/>
    </i>
    <i r="1">
      <x v="11"/>
    </i>
    <i r="1">
      <x v="13"/>
    </i>
    <i r="1">
      <x v="14"/>
    </i>
    <i r="1">
      <x v="15"/>
    </i>
    <i r="1">
      <x v="17"/>
    </i>
    <i r="1">
      <x v="18"/>
    </i>
    <i r="1">
      <x v="19"/>
    </i>
    <i r="1">
      <x v="20"/>
    </i>
    <i r="1">
      <x v="21"/>
    </i>
    <i r="1">
      <x v="22"/>
    </i>
    <i r="1">
      <x v="23"/>
    </i>
    <i r="1">
      <x v="24"/>
    </i>
    <i r="1">
      <x v="25"/>
    </i>
    <i r="1">
      <x v="26"/>
    </i>
    <i r="1">
      <x v="27"/>
    </i>
    <i r="1">
      <x v="28"/>
    </i>
    <i r="1">
      <x v="32"/>
    </i>
    <i r="1">
      <x v="34"/>
    </i>
    <i r="1">
      <x v="36"/>
    </i>
    <i r="1">
      <x v="37"/>
    </i>
    <i r="1">
      <x v="39"/>
    </i>
    <i r="1">
      <x v="40"/>
    </i>
    <i r="1">
      <x v="41"/>
    </i>
    <i r="1">
      <x v="42"/>
    </i>
    <i r="1">
      <x v="43"/>
    </i>
    <i r="1">
      <x v="44"/>
    </i>
    <i r="1">
      <x v="45"/>
    </i>
    <i r="1">
      <x v="47"/>
    </i>
    <i r="1">
      <x v="48"/>
    </i>
    <i r="1">
      <x v="53"/>
    </i>
    <i r="1">
      <x v="54"/>
    </i>
    <i r="1">
      <x v="57"/>
    </i>
    <i r="1">
      <x v="58"/>
    </i>
    <i t="default">
      <x v="3"/>
    </i>
    <i>
      <x v="4"/>
      <x/>
    </i>
    <i r="1">
      <x v="3"/>
    </i>
    <i r="1">
      <x v="4"/>
    </i>
    <i r="1">
      <x v="5"/>
    </i>
    <i r="1">
      <x v="6"/>
    </i>
    <i r="1">
      <x v="7"/>
    </i>
    <i r="1">
      <x v="8"/>
    </i>
    <i r="1">
      <x v="9"/>
    </i>
    <i r="1">
      <x v="10"/>
    </i>
    <i r="1">
      <x v="11"/>
    </i>
    <i r="1">
      <x v="12"/>
    </i>
    <i r="1">
      <x v="16"/>
    </i>
    <i r="1">
      <x v="17"/>
    </i>
    <i r="1">
      <x v="18"/>
    </i>
    <i r="1">
      <x v="19"/>
    </i>
    <i r="1">
      <x v="21"/>
    </i>
    <i r="1">
      <x v="22"/>
    </i>
    <i r="1">
      <x v="23"/>
    </i>
    <i r="1">
      <x v="27"/>
    </i>
    <i r="1">
      <x v="28"/>
    </i>
    <i r="1">
      <x v="29"/>
    </i>
    <i r="1">
      <x v="32"/>
    </i>
    <i r="1">
      <x v="37"/>
    </i>
    <i r="1">
      <x v="39"/>
    </i>
    <i r="1">
      <x v="40"/>
    </i>
    <i r="1">
      <x v="41"/>
    </i>
    <i r="1">
      <x v="42"/>
    </i>
    <i r="1">
      <x v="43"/>
    </i>
    <i r="1">
      <x v="45"/>
    </i>
    <i r="1">
      <x v="46"/>
    </i>
    <i r="1">
      <x v="47"/>
    </i>
    <i r="1">
      <x v="49"/>
    </i>
    <i r="1">
      <x v="50"/>
    </i>
    <i r="1">
      <x v="51"/>
    </i>
    <i r="1">
      <x v="55"/>
    </i>
    <i r="1">
      <x v="56"/>
    </i>
    <i r="1">
      <x v="59"/>
    </i>
    <i t="default">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Životna_dob" xr10:uid="{2D357699-ED65-466A-960B-5732AAE0E3C3}" sourceName="Životna dob">
  <pivotTables>
    <pivotTable tabId="18" name="PivotTable2"/>
  </pivotTables>
  <data>
    <tabular pivotCacheId="172367118">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_usluge_prava_benefita" xr10:uid="{7584F0C5-EA8C-4148-91C8-4F7A23429528}" sourceName="Tip usluge/prava/benefita">
  <pivotTables>
    <pivotTable tabId="18" name="PivotTable2"/>
  </pivotTables>
  <data>
    <tabular pivotCacheId="172367118">
      <items count="12">
        <i x="8" s="1"/>
        <i x="3" s="1"/>
        <i x="6" s="1"/>
        <i x="4" s="1"/>
        <i x="7" s="1"/>
        <i x="9" s="1"/>
        <i x="5" s="1"/>
        <i x="2" s="1"/>
        <i x="1" s="1"/>
        <i x="0" s="1"/>
        <i x="11"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istartvo_Organizacija" xr10:uid="{48E4C438-93FD-475F-9AE5-D248CF4D9503}" sourceName="Ministartvo/Organizacija">
  <pivotTables>
    <pivotTable tabId="18" name="PivotTable2"/>
  </pivotTables>
  <data>
    <tabular pivotCacheId="172367118">
      <items count="26">
        <i x="4" s="1"/>
        <i x="2" s="1"/>
        <i x="12" s="1"/>
        <i x="17" s="1"/>
        <i x="3" s="1"/>
        <i x="23" s="1"/>
        <i x="11" s="1"/>
        <i x="21" s="1"/>
        <i x="18" s="1"/>
        <i x="19" s="1"/>
        <i x="22" s="1"/>
        <i x="9" s="1"/>
        <i x="20" s="1"/>
        <i x="10" s="1"/>
        <i x="14" s="1"/>
        <i x="5" s="1"/>
        <i x="8" s="1"/>
        <i x="15" s="1"/>
        <i x="13" s="1"/>
        <i x="25" s="1"/>
        <i x="16" s="1"/>
        <i x="24" s="1"/>
        <i x="0" s="1"/>
        <i x="6"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Životna dob" xr10:uid="{E785630B-E335-41AB-8E78-675D123C6FA3}" cache="Slicer_Životna_dob" caption="Životna dob" rowHeight="241300"/>
  <slicer name="Tip usluge/prava/benefita" xr10:uid="{7E09EEF5-A034-4A6E-AD2C-4F76C151AA3A}" cache="Slicer_Tip_usluge_prava_benefita" caption="Tip usluge/prava/benefita" startItem="3" rowHeight="241300"/>
  <slicer name="Ministartvo/Organizacija" xr10:uid="{9219A83D-48C6-4EAA-8BA4-0FA2963C75ED}" cache="Slicer_Ministartvo_Organizacija" caption="Ministartvo/Organizacija" startItem="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E5540E-A15D-4EBA-B54B-F2677BCFD519}" name="Table6" displayName="Table6" ref="A1:F10" totalsRowShown="0" headerRowDxfId="56" dataDxfId="55" tableBorderDxfId="54">
  <autoFilter ref="A1:F10" xr:uid="{F8E5540E-A15D-4EBA-B54B-F2677BCFD519}"/>
  <tableColumns count="6">
    <tableColumn id="1" xr3:uid="{3CD3A6FA-48B3-4742-8A53-DD72379ADF8D}" name="Naziv " dataDxfId="53"/>
    <tableColumn id="2" xr3:uid="{822BDE87-6F30-4A0E-A5E2-A9CA37AF424B}" name="Opis" dataDxfId="52"/>
    <tableColumn id="3" xr3:uid="{58D77055-6C4D-4085-8930-2E537F7B48A2}" name="Životna dob" dataDxfId="51"/>
    <tableColumn id="5" xr3:uid="{63ED1170-2807-4400-9BED-30ED8580EBF4}" name="Pravni osnov" dataDxfId="50"/>
    <tableColumn id="6" xr3:uid="{EDBC30B4-6F48-4A07-8E16-A1D618F93B57}" name="Pojašnjenje (Član)" dataDxfId="49"/>
    <tableColumn id="7" xr3:uid="{97503B81-1CB4-45AC-A9F3-58BBE73723CB}" name="Web stranica"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01B4FA-5515-495E-8493-A665299851AA}" name="Table2" displayName="Table2" ref="A1:S31" totalsRowShown="0" headerRowDxfId="47" dataDxfId="45" headerRowBorderDxfId="46" tableBorderDxfId="44" totalsRowBorderDxfId="43">
  <autoFilter ref="A1:S31" xr:uid="{DC01B4FA-5515-495E-8493-A665299851AA}"/>
  <tableColumns count="19">
    <tableColumn id="1" xr3:uid="{1F9E85E2-0B42-4580-82E0-6EEF465356B7}" name="#" dataDxfId="42"/>
    <tableColumn id="2" xr3:uid="{4219DB81-11D2-48FE-B7E2-5608FFF50B55}" name="Naziv " dataDxfId="41"/>
    <tableColumn id="3" xr3:uid="{694A58F1-2A0C-4062-B856-7D3DE3AB2B87}" name="Opis" dataDxfId="40"/>
    <tableColumn id="4" xr3:uid="{E6B32774-7F5A-4404-BA91-DAEFC1C6DC74}" name="Životna dob" dataDxfId="39"/>
    <tableColumn id="5" xr3:uid="{F53571F7-E67A-4D75-B971-A9E579E334CE}" name="Godine" dataDxfId="38"/>
    <tableColumn id="6" xr3:uid="{C56B24ED-F555-4C1E-8F1F-95E0A9F19EBD}" name="Tip usluge/prava/benefita" dataDxfId="37"/>
    <tableColumn id="7" xr3:uid="{E061CC34-19FF-417C-8134-E10A7AFAB410}" name="Institucija" dataDxfId="36"/>
    <tableColumn id="8" xr3:uid="{772F549A-88E3-465F-A720-D9DB53E72F53}" name="Adresa" dataDxfId="35"/>
    <tableColumn id="9" xr3:uid="{4CEF74C2-07E0-4B89-85D3-C9E9B9A1743A}" name="Web stranica" dataDxfId="34"/>
    <tableColumn id="10" xr3:uid="{DF65403C-1AF1-4456-B8F7-E59BD4641A90}" name="Telefon" dataDxfId="33"/>
    <tableColumn id="11" xr3:uid="{691CF05D-6BDD-4AAD-97E1-9C52B75F2E41}" name="Email" dataDxfId="32"/>
    <tableColumn id="12" xr3:uid="{AE92B2E5-DC89-43B9-A62F-8B64611EDD93}" name="Pravni osnov" dataDxfId="31"/>
    <tableColumn id="13" xr3:uid="{6CEED575-5B30-4A77-AB59-1EC60905A98A}" name="Proces aplikacije" dataDxfId="30"/>
    <tableColumn id="14" xr3:uid="{FFE031DC-1278-4B8E-AE6A-C8D486B3F7DB}" name="Lista neophodnih dokumenata" dataDxfId="29"/>
    <tableColumn id="15" xr3:uid="{A3CB64C4-787A-4D5D-A31E-037D47BCA561}" name="Link za informacije o prijavi" dataDxfId="28"/>
    <tableColumn id="16" xr3:uid="{2A4E65B2-B182-44CE-8C1E-844CC2177CFC}" name="Vremenski okvir" dataDxfId="27"/>
    <tableColumn id="17" xr3:uid="{D7268B50-AA0A-4678-B0CA-B96626BF4CE7}" name="Dodatne napomene" dataDxfId="26"/>
    <tableColumn id="18" xr3:uid="{D7CC9E88-F8AA-4482-A4F3-AFF654B37299}" name="Lat" dataDxfId="25">
      <calculatedColumnFormula>IFERROR(VLOOKUP(Table2[[#This Row],[Adresa]],Sheet1!$A$1:$C$20,2,0),0)</calculatedColumnFormula>
    </tableColumn>
    <tableColumn id="19" xr3:uid="{E212D38E-3C14-4451-9823-9825AA7C6B45}" name="Lon" dataDxfId="24">
      <calculatedColumnFormula>IFERROR(VLOOKUP(Table2[[#This Row],[Adresa]],Sheet1!$A$1:$C$20,2,0),0)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C73C86-88F7-4509-A95A-5168F4D44A8C}" name="Table5" displayName="Table5" ref="A1:N18" totalsRowShown="0" headerRowDxfId="23" dataDxfId="21" headerRowBorderDxfId="22" tableBorderDxfId="20">
  <autoFilter ref="A1:N18" xr:uid="{5FC73C86-88F7-4509-A95A-5168F4D44A8C}"/>
  <tableColumns count="14">
    <tableColumn id="1" xr3:uid="{93C9BA4B-E353-4D19-A8B1-FD649D881751}" name="Naziv " dataDxfId="19"/>
    <tableColumn id="2" xr3:uid="{37CD3CA4-A5B4-48AA-8EAB-A634118E07F6}" name="Opis" dataDxfId="18"/>
    <tableColumn id="3" xr3:uid="{166DA75C-3FDE-4343-A1C5-D2960F08F3B9}" name="Tip usluge/prava/benefita" dataDxfId="17"/>
    <tableColumn id="4" xr3:uid="{7400F049-A05D-4A4E-99A4-43B56FBA226C}" name="Životna dob" dataDxfId="16"/>
    <tableColumn id="6" xr3:uid="{762D7820-5F72-4954-AFF5-8563D1F25EDF}" name="Korisnici" dataDxfId="15"/>
    <tableColumn id="7" xr3:uid="{037E89ED-4586-4EB8-8009-1DC090C06F9E}" name="Ministartvo/Organizacija" dataDxfId="14"/>
    <tableColumn id="8" xr3:uid="{2DE3B312-9D8F-4CF9-8624-2A6E25D376D2}" name="Adresa" dataDxfId="13"/>
    <tableColumn id="9" xr3:uid="{F2FDB37F-57A2-4F5E-8AE1-29D816260855}" name="Web stranica" dataDxfId="12"/>
    <tableColumn id="10" xr3:uid="{9507BFE2-DD4B-41AE-A7ED-EE3EA04689F9}" name="Telefon" dataDxfId="11"/>
    <tableColumn id="11" xr3:uid="{422D2703-FD84-4A66-A590-54DC013958FF}" name="Email" dataDxfId="10"/>
    <tableColumn id="12" xr3:uid="{7DAAC0A0-5795-416B-8172-BF7FB16CF71C}" name="Pravni okvir" dataDxfId="9"/>
    <tableColumn id="13" xr3:uid="{3FECE412-1757-4D30-BE43-D03589D55C54}" name="Proces aplikacije" dataDxfId="8"/>
    <tableColumn id="14" xr3:uid="{9CCCC0FB-8F10-4A5D-BA9F-34BEB2AACEA9}" name="Lista neophodnih dokumenata" dataDxfId="7"/>
    <tableColumn id="15" xr3:uid="{897F94AA-266F-4177-BC01-F1BA673F652B}" name="Link za informacije o prijavi"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03D76D-D302-4320-BEB5-A55625437D7F}" name="Zivotnadob" displayName="Zivotnadob" ref="D1:D5" totalsRowShown="0" headerRowDxfId="5">
  <autoFilter ref="D1:D5" xr:uid="{E703D76D-D302-4320-BEB5-A55625437D7F}"/>
  <tableColumns count="1">
    <tableColumn id="1" xr3:uid="{5BD196D3-17BC-4525-A2D1-C125915FE5E4}" name="Životna dob"/>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3-10-08T19:48:35.30" personId="{FE1FD6E1-A811-4748-8FA2-0CB75D7C2C7E}" id="{0BF16223-5921-431D-AA1A-6D1905E5309E}">
    <text>Dodatne informacije ili posebne upute</text>
  </threadedComment>
</ThreadedComments>
</file>

<file path=xl/threadedComments/threadedComment2.xml><?xml version="1.0" encoding="utf-8"?>
<ThreadedComments xmlns="http://schemas.microsoft.com/office/spreadsheetml/2018/threadedcomments" xmlns:x="http://schemas.openxmlformats.org/spreadsheetml/2006/main">
  <threadedComment ref="P1" dT="2023-10-08T19:48:56.53" personId="{FE1FD6E1-A811-4748-8FA2-0CB75D7C2C7E}" id="{F10D69F7-D8DC-4B53-8070-0191118B7BCA}">
    <text>Prosječno vrijeme potrebno za pristup usluzi</text>
  </threadedComment>
  <threadedComment ref="Q1" dT="2023-10-08T19:48:35.30" personId="{FE1FD6E1-A811-4748-8FA2-0CB75D7C2C7E}" id="{A8291467-26C0-4BFD-9D7E-E33EE1BB8191}">
    <text>Dodatne informacije ili posebne upute</text>
  </threadedComment>
  <threadedComment ref="G16" dT="2023-11-02T15:38:45.39" personId="{4F443A0E-C9E6-48AD-9C00-9AB97078B107}" id="{8EE2233E-81AA-43AF-8402-BF4053EE42CB}">
    <text xml:space="preserve">OPĆINA CENTAR
Odsjek za socijalnu zaštitu
Šefica odsjeka: Amra SABRIHAFIZOVIĆ-HAJDAREVIĆ
T:  + 387 33 56 24 49
E:  amra.sabrihafizovic-hajdarevic@centar.ba
OPĆINA STARI GRAD
Služba za boračko-invalidsku i socijalnu zaštitu
Elma Novalija
Pomoćnica načelnika za boračko-invalidsku i socijalnu zaštitu
e mail: elma.novalija@starigrad.ba 
OPĆINA NOVO SARAJEVO
Služba za socijalna pitanja, zdravstvo, izbjeglice i raseljena lica
Aleksandra Hasečić
diplomirani žurnalista
Pomoćnik Općinskog načelnika
tel: +387 33 492-124, +387 33 492-123, 
+387 33 492-125
fax: +387 33 492-324
socijalna.pitanja@novosarajevo.ba 
aleksandra.hasecic@novosarajevo.ba 
OPĆINA NOVI GRAD
Služba za boračka pitanja, rad, socijalna pitanja i zdravstvo
Tajib Delalić, Rukovodioc
E-mail: biz-soc@novigradsarajevo.ba 
Telefon: 033/291–110 / Lokal 110
Soba: 325
OPĆINA ILIDŽA
Služba za socijalna pitanja, zdravstvo, izbjeglice i raseljena lica
Sejda Topalović
Pomoćnik Općinskog načelnika
E-mail: sejda.topalovic@opcinailidza.ba 
Telefon 033/637-384
Lokal 662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ext>
    <extLst>
      <x:ext xmlns:xltc2="http://schemas.microsoft.com/office/spreadsheetml/2020/threadedcomments2" uri="{F7C98A9C-CBB3-438F-8F68-D28B6AF4A901}">
        <xltc2:checksum>222136140</xltc2:checksum>
        <xltc2:hyperlink startIndex="115" length="40" url="mailto:amra.sabrihafizovic-hajdarevic@centar.ba"/>
        <xltc2:hyperlink startIndex="308" length="26" url="mailto:elma.novalija@starigrad.ba"/>
        <xltc2:hyperlink startIndex="576" length="33" url="mailto:socijalna.pitanja@novosarajevo.ba"/>
        <xltc2:hyperlink startIndex="611" length="34" url="mailto:aleksandra.hasecic@novosarajevo.ba"/>
        <xltc2:hyperlink startIndex="761" length="27" url="mailto:biz-soc@novigradsarajevo.ba"/>
        <xltc2:hyperlink startIndex="969" length="31" url="mailto:sejda.topalovic@opcinailidza.ba"/>
        <xltc2:hyperlink startIndex="1202" length="14" url="mailto:biz@hadzici.ba"/>
        <xltc2:hyperlink startIndex="1353" length="22" url="mailto:nijaz.spahic@ilijas.ba"/>
        <xltc2:hyperlink startIndex="1378" length="13" url="mailto:biz@ilijas.ba"/>
        <xltc2:hyperlink startIndex="1483" length="23" url="mailto:zijad.kadric@vogosca.ba"/>
        <xltc2:hyperlink startIndex="1767" length="13" url="mailto:biz@trnovo.ba"/>
      </x:ext>
    </extLst>
  </threadedComment>
  <threadedComment ref="G17" dT="2023-11-02T15:38:45.39" personId="{4F443A0E-C9E6-48AD-9C00-9AB97078B107}" id="{0AD44763-B4DF-4D57-B80A-5FB71860E92F}">
    <text xml:space="preserve">OPĆINA CENTAR
Odsjek za socijalnu zaštitu
Šefica odsjeka: Amra SABRIHAFIZOVIĆ-HAJDAREVIĆ
T:  + 387 33 56 24 49
E:  amra.sabrihafizovic-hajdarevic@centar.ba
OPĆINA STARI GRAD
Služba za boračko-invalidsku i socijalnu zaštitu
Elma Novalija
Pomoćnica načelnika za boračko-invalidsku i socijalnu zaštitu
e mail: elma.novalija@starigrad.ba 
OPĆINA NOVO SARAJEVO
Služba za socijalna pitanja, zdravstvo, izbjeglice i raseljena lica
Aleksandra Hasečić
diplomirani žurnalista
Pomoćnik Općinskog načelnika
tel: +387 33 492-124, +387 33 492-123, 
+387 33 492-125
fax: +387 33 492-324
socijalna.pitanja@novosarajevo.ba 
aleksandra.hasecic@novosarajevo.ba 
OPĆINA NOVI GRAD
Služba za boračka pitanja, rad, socijalna pitanja i zdravstvo
Tajib Delalić, Rukovodioc
E-mail: biz-soc@novigradsarajevo.ba 
Telefon: 033/291–110 / Lokal 110
Soba: 325
OPĆINA ILIDŽA
Služba za socijalna pitanja, zdravstvo, izbjeglice i raseljena lica
Sejda Topalović
Pomoćnik Općinskog načelnika
E-mail: sejda.topalovic@opcinailidza.ba 
Telefon 033/637-384
Lokal 662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ext>
    <extLst>
      <x:ext xmlns:xltc2="http://schemas.microsoft.com/office/spreadsheetml/2020/threadedcomments2" uri="{F7C98A9C-CBB3-438F-8F68-D28B6AF4A901}">
        <xltc2:checksum>222136140</xltc2:checksum>
        <xltc2:hyperlink startIndex="115" length="40" url="mailto:amra.sabrihafizovic-hajdarevic@centar.ba"/>
        <xltc2:hyperlink startIndex="308" length="26" url="mailto:elma.novalija@starigrad.ba"/>
        <xltc2:hyperlink startIndex="576" length="33" url="mailto:socijalna.pitanja@novosarajevo.ba"/>
        <xltc2:hyperlink startIndex="611" length="34" url="mailto:aleksandra.hasecic@novosarajevo.ba"/>
        <xltc2:hyperlink startIndex="761" length="27" url="mailto:biz-soc@novigradsarajevo.ba"/>
        <xltc2:hyperlink startIndex="969" length="31" url="mailto:sejda.topalovic@opcinailidza.ba"/>
        <xltc2:hyperlink startIndex="1202" length="14" url="mailto:biz@hadzici.ba"/>
        <xltc2:hyperlink startIndex="1353" length="22" url="mailto:nijaz.spahic@ilijas.ba"/>
        <xltc2:hyperlink startIndex="1378" length="13" url="mailto:biz@ilijas.ba"/>
        <xltc2:hyperlink startIndex="1483" length="23" url="mailto:zijad.kadric@vogosca.ba"/>
        <xltc2:hyperlink startIndex="1767" length="13" url="mailto:biz@trnovo.ba"/>
      </x:ext>
    </extLst>
  </threadedComment>
  <threadedComment ref="G29" dT="2023-11-02T15:50:23.89" personId="{4F443A0E-C9E6-48AD-9C00-9AB97078B107}" id="{B4351CE4-FF5B-4F03-8DE7-139431C1D7A8}">
    <text xml:space="preserve">OPĆINA CENTAR
Obrazovanje, društvene djelatnosti, kulturu i sport
omoćnica općinskog načelnika: Lejla DIZDAREVIĆ
T: + 387 33 56 24 72
E: lejla.dizdarevic@centar.ba 
OPĆINA STARI GRAD
Služba za obrazovanje, kulturu i sport
Enida Osmanagić
po ovlaštenju Pomoćnik Općinskog načelnika za obrazovanje, kulturu i sport
e-mail: enida.osmanagic@starigrad.ba  
OPĆINA NOVO SARAJEVO
Služba za obrazovanje, kulturu i sport
Emina Rovčanin
diplomirani pravnik
Pomoćnik Općinskog načelnika
tel: +387 33 492-188, +387 33 492-189
obrazovanje@novosarajevo.ba 
emina.rovcanin@novosarajevo.ba 
OPĆINA NOVI GRAD
Služba za obrazovanje, kulturu i sport
Adisa Šuman, Rukovodioc
E-mail: adisasuman@novigradsarajevo.ba 
Telefon: 033/291–190 / Lokal 190
Soba: 510
OPĆINA ILIDŽA
Služba za obrazovanje, kulturu, sport i mlade
Adel Prašović
Pomoćnik Općinskog načelnika
E-mail: adel.prasovic@opcinailidza.ba
Telefon 033/637-218
Lokal716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text>
    <extLst>
      <x:ext xmlns:xltc2="http://schemas.microsoft.com/office/spreadsheetml/2020/threadedcomments2" uri="{F7C98A9C-CBB3-438F-8F68-D28B6AF4A901}">
        <xltc2:checksum>427484760</xltc2:checksum>
        <xltc2:hyperlink startIndex="137" length="26" url="mailto:lejla.dizdarevic@centar.ba"/>
        <xltc2:hyperlink startIndex="322" length="28" url="mailto:enida.osmanagic@starigrad.ba"/>
        <xltc2:hyperlink startIndex="516" length="27" url="mailto:obrazovanje@novosarajevo.ba"/>
        <xltc2:hyperlink startIndex="545" length="30" url="mailto:emina.rovcanin@novosarajevo.ba"/>
        <xltc2:hyperlink startIndex="666" length="30" url="mailto:adisasuman@novigradsarajevo.ba"/>
        <xltc2:hyperlink startIndex="853" length="29" url="mailto:adel.prasovic@opcinailidza.ba"/>
        <xltc2:hyperlink startIndex="1082" length="14" url="mailto:biz@hadzici.ba"/>
        <xltc2:hyperlink startIndex="1233" length="22" url="mailto:nijaz.spahic@ilijas.ba"/>
        <xltc2:hyperlink startIndex="1258" length="13" url="mailto:biz@ilijas.ba"/>
        <xltc2:hyperlink startIndex="1363" length="23" url="mailto:zijad.kadric@vogosca.ba"/>
        <xltc2:hyperlink startIndex="1647" length="13" url="mailto:biz@trnovo.ba"/>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O1" dT="2023-10-08T19:48:35.30" personId="{FE1FD6E1-A811-4748-8FA2-0CB75D7C2C7E}" id="{93E95DB2-A11E-4015-8E04-04D32240A264}">
    <text>Dodatne informacije ili posebne upute</text>
  </threadedComment>
</ThreadedComment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info@kcsr.ba" TargetMode="External"/><Relationship Id="rId21" Type="http://schemas.openxmlformats.org/officeDocument/2006/relationships/hyperlink" Target="mailto:mirsada@kcsr.ba" TargetMode="External"/><Relationship Id="rId63" Type="http://schemas.openxmlformats.org/officeDocument/2006/relationships/hyperlink" Target="mailto:info@fond.ba" TargetMode="External"/><Relationship Id="rId159" Type="http://schemas.openxmlformats.org/officeDocument/2006/relationships/hyperlink" Target="https://kcsr.ba/file/kcsr13/268" TargetMode="External"/><Relationship Id="rId170" Type="http://schemas.openxmlformats.org/officeDocument/2006/relationships/hyperlink" Target="mailto:mirsada@kcsr.ba" TargetMode="External"/><Relationship Id="rId22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8" Type="http://schemas.openxmlformats.org/officeDocument/2006/relationships/hyperlink" Target="https://mz.ks.gov.ba/node/7923" TargetMode="External"/><Relationship Id="rId32" Type="http://schemas.openxmlformats.org/officeDocument/2006/relationships/hyperlink" Target="mailto:mirsada@kcsr.ba" TargetMode="External"/><Relationship Id="rId74" Type="http://schemas.openxmlformats.org/officeDocument/2006/relationships/hyperlink" Target="mailto:info@kzzosa.ba" TargetMode="External"/><Relationship Id="rId128" Type="http://schemas.openxmlformats.org/officeDocument/2006/relationships/hyperlink" Target="https://novosarajevo.ba/userfiles/doc/files/Odluka_o_uslovima.pdf" TargetMode="External"/><Relationship Id="rId5" Type="http://schemas.openxmlformats.org/officeDocument/2006/relationships/hyperlink" Target="https://kcsr.ba/file/kcsr6/263" TargetMode="External"/><Relationship Id="rId181" Type="http://schemas.openxmlformats.org/officeDocument/2006/relationships/hyperlink" Target="https://kcsr.ba/file/kcsr4/262" TargetMode="External"/><Relationship Id="rId23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8" Type="http://schemas.openxmlformats.org/officeDocument/2006/relationships/hyperlink" Target="https://www.opcinailidza.ba/" TargetMode="External"/><Relationship Id="rId279" Type="http://schemas.openxmlformats.org/officeDocument/2006/relationships/comments" Target="../comments1.xml"/><Relationship Id="rId22" Type="http://schemas.openxmlformats.org/officeDocument/2006/relationships/hyperlink" Target="mailto:mirsada@kcsr.ba" TargetMode="External"/><Relationship Id="rId43" Type="http://schemas.openxmlformats.org/officeDocument/2006/relationships/hyperlink" Target="https://www.gcs.ba/" TargetMode="External"/><Relationship Id="rId64" Type="http://schemas.openxmlformats.org/officeDocument/2006/relationships/hyperlink" Target="https://fond.ba/uputstvo-za-potpisivanje-ugovora-programi-9/" TargetMode="External"/><Relationship Id="rId118" Type="http://schemas.openxmlformats.org/officeDocument/2006/relationships/hyperlink" Target="mailto:mirsada@kcsr.ba" TargetMode="External"/><Relationship Id="rId139" Type="http://schemas.openxmlformats.org/officeDocument/2006/relationships/hyperlink" Target="https://www.kzzosa.ba/" TargetMode="External"/><Relationship Id="rId85" Type="http://schemas.openxmlformats.org/officeDocument/2006/relationships/hyperlink" Target="mailto:sejda.topalovic@opcinailidza.ba" TargetMode="External"/><Relationship Id="rId150" Type="http://schemas.openxmlformats.org/officeDocument/2006/relationships/hyperlink" Target="mailto:info@kzzosa.ba" TargetMode="External"/><Relationship Id="rId171" Type="http://schemas.openxmlformats.org/officeDocument/2006/relationships/hyperlink" Target="mailto:mirsada@kcsr.ba" TargetMode="External"/><Relationship Id="rId192" Type="http://schemas.openxmlformats.org/officeDocument/2006/relationships/hyperlink" Target="https://kcsr.ba/" TargetMode="External"/><Relationship Id="rId206" Type="http://schemas.openxmlformats.org/officeDocument/2006/relationships/hyperlink" Target="mailto:mirsada@kcsr.ba" TargetMode="External"/><Relationship Id="rId22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9" Type="http://schemas.openxmlformats.org/officeDocument/2006/relationships/hyperlink" Target="mailto:jasminka.ramic@mz.ks.gov.ba" TargetMode="External"/><Relationship Id="rId12" Type="http://schemas.openxmlformats.org/officeDocument/2006/relationships/hyperlink" Target="https://kcsr.ba/file/kcsr13/268" TargetMode="External"/><Relationship Id="rId33" Type="http://schemas.openxmlformats.org/officeDocument/2006/relationships/hyperlink" Target="https://www.centar.ba/gradjani/put-do-prava/socijalna-zastita/socijalna-zastita/novcana-pomoc-za-troskove-kucne-njege" TargetMode="External"/><Relationship Id="rId108" Type="http://schemas.openxmlformats.org/officeDocument/2006/relationships/hyperlink" Target="https://eregistar.centar.ba/registar/12-21-pravo-na-dodatak-za-njegu-i-pomoc-od-strane-drugog-lica-czr/" TargetMode="External"/><Relationship Id="rId129" Type="http://schemas.openxmlformats.org/officeDocument/2006/relationships/hyperlink" Target="https://novosarajevo.ba/userfiles/doc/files/Odluka_o_uslovima.pdf" TargetMode="External"/><Relationship Id="rId280" Type="http://schemas.microsoft.com/office/2017/10/relationships/threadedComment" Target="../threadedComments/threadedComment1.xml"/><Relationship Id="rId54" Type="http://schemas.openxmlformats.org/officeDocument/2006/relationships/hyperlink" Target="https://www.novigradsarajevo.ba/document/zahtjev-za-naknadu-troskova-prijevoza-ucenika-ca-s-poteskocama-u-kretanju/" TargetMode="External"/><Relationship Id="rId75" Type="http://schemas.openxmlformats.org/officeDocument/2006/relationships/hyperlink" Target="mailto:info@kzzosa.ba" TargetMode="External"/><Relationship Id="rId96" Type="http://schemas.openxmlformats.org/officeDocument/2006/relationships/hyperlink" Target="http://www.sluzbenilist.ba/page/akt/lbKAkKGaEwg=" TargetMode="External"/><Relationship Id="rId140" Type="http://schemas.openxmlformats.org/officeDocument/2006/relationships/hyperlink" Target="https://www.kzzosa.ba/" TargetMode="External"/><Relationship Id="rId161" Type="http://schemas.openxmlformats.org/officeDocument/2006/relationships/hyperlink" Target="https://kcsr.ba/file/kcsr13/268" TargetMode="External"/><Relationship Id="rId182" Type="http://schemas.openxmlformats.org/officeDocument/2006/relationships/hyperlink" Target="https://kcsr.ba/file/kcsr4/262" TargetMode="External"/><Relationship Id="rId217" Type="http://schemas.openxmlformats.org/officeDocument/2006/relationships/hyperlink" Target="http://obrasci.pufbih.ba/images/stories/dohodak_docs/NoviObrazacPK1001hrv.pdf" TargetMode="External"/><Relationship Id="rId6" Type="http://schemas.openxmlformats.org/officeDocument/2006/relationships/hyperlink" Target="https://kcsr.ba/file/kcsr6/263" TargetMode="External"/><Relationship Id="rId23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9" Type="http://schemas.openxmlformats.org/officeDocument/2006/relationships/hyperlink" Target="mailto:Edina.Icindic@opcinailidza.ba" TargetMode="External"/><Relationship Id="rId23" Type="http://schemas.openxmlformats.org/officeDocument/2006/relationships/hyperlink" Target="https://kcsr.ba/" TargetMode="External"/><Relationship Id="rId119" Type="http://schemas.openxmlformats.org/officeDocument/2006/relationships/hyperlink" Target="mailto:mirsada@kcsr.ba" TargetMode="External"/><Relationship Id="rId270" Type="http://schemas.openxmlformats.org/officeDocument/2006/relationships/hyperlink" Target="https://mz.ks.gov.ba/" TargetMode="External"/><Relationship Id="rId44" Type="http://schemas.openxmlformats.org/officeDocument/2006/relationships/hyperlink" Target="mailto:info@gcs.ba" TargetMode="External"/><Relationship Id="rId65" Type="http://schemas.openxmlformats.org/officeDocument/2006/relationships/hyperlink" Target="https://www.kzzosa.ba/" TargetMode="External"/><Relationship Id="rId8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30" Type="http://schemas.openxmlformats.org/officeDocument/2006/relationships/hyperlink" Target="https://novosarajevo.ba/" TargetMode="External"/><Relationship Id="rId151" Type="http://schemas.openxmlformats.org/officeDocument/2006/relationships/hyperlink" Target="mailto:info@kzzosa.ba" TargetMode="External"/><Relationship Id="rId172" Type="http://schemas.openxmlformats.org/officeDocument/2006/relationships/hyperlink" Target="mailto:mirsada@kcsr.ba" TargetMode="External"/><Relationship Id="rId193" Type="http://schemas.openxmlformats.org/officeDocument/2006/relationships/hyperlink" Target="https://kcsr.ba/" TargetMode="External"/><Relationship Id="rId207" Type="http://schemas.openxmlformats.org/officeDocument/2006/relationships/hyperlink" Target="mailto:mirsada@kcsr.ba" TargetMode="External"/><Relationship Id="rId22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3" Type="http://schemas.openxmlformats.org/officeDocument/2006/relationships/hyperlink" Target="https://kcsr.ba/file/kcsr13/268" TargetMode="External"/><Relationship Id="rId109" Type="http://schemas.openxmlformats.org/officeDocument/2006/relationships/hyperlink" Target="https://eregistar.centar.ba/registar/12-21-pravo-na-dodatak-za-njegu-i-pomoc-od-strane-drugog-lica-czr/" TargetMode="External"/><Relationship Id="rId260" Type="http://schemas.openxmlformats.org/officeDocument/2006/relationships/hyperlink" Target="https://www.opcinailidza.ba/uploads/files/shares/Elektronski_formulari/sl_obraz/zahtjev%20za%20sno%C5%A1enje%20tro%C5%A1kova%20prijevoza.pdf" TargetMode="External"/><Relationship Id="rId34" Type="http://schemas.openxmlformats.org/officeDocument/2006/relationships/hyperlink" Target="https://www.centar.ba/gradjani/put-do-prava/porodica/treca-zivotna-dob" TargetMode="External"/><Relationship Id="rId55" Type="http://schemas.openxmlformats.org/officeDocument/2006/relationships/hyperlink" Target="https://www.novigradsarajevo.ba/" TargetMode="External"/><Relationship Id="rId76" Type="http://schemas.openxmlformats.org/officeDocument/2006/relationships/hyperlink" Target="https://eregistar.centar.ba/registar/12-21-pravo-na-dodatak-za-njegu-i-pomoc-od-strane-drugog-lica-czr/" TargetMode="External"/><Relationship Id="rId97" Type="http://schemas.openxmlformats.org/officeDocument/2006/relationships/hyperlink" Target="mailto:zlatan.kulovic@centar.ba" TargetMode="External"/><Relationship Id="rId120" Type="http://schemas.openxmlformats.org/officeDocument/2006/relationships/hyperlink" Target="https://dombjelave.ba/bs" TargetMode="External"/><Relationship Id="rId141" Type="http://schemas.openxmlformats.org/officeDocument/2006/relationships/hyperlink" Target="https://www.kzzosa.ba/" TargetMode="External"/><Relationship Id="rId7" Type="http://schemas.openxmlformats.org/officeDocument/2006/relationships/hyperlink" Target="https://kcsr.ba/" TargetMode="External"/><Relationship Id="rId162" Type="http://schemas.openxmlformats.org/officeDocument/2006/relationships/hyperlink" Target="https://kcsr.ba/file/kcsr13/268" TargetMode="External"/><Relationship Id="rId183" Type="http://schemas.openxmlformats.org/officeDocument/2006/relationships/hyperlink" Target="https://kcsr.ba/file/kcsr4/262" TargetMode="External"/><Relationship Id="rId218" Type="http://schemas.openxmlformats.org/officeDocument/2006/relationships/hyperlink" Target="https://www.opcinailidza.ba/services/sluzba-za-socijalna-pitanja-zdravstvo-izbjeglice-i-raseljena-lica" TargetMode="External"/><Relationship Id="rId23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0" Type="http://schemas.openxmlformats.org/officeDocument/2006/relationships/hyperlink" Target="https://mojwebshop.bhtelecom.ba/INTERSHOP/web/BOS/BHTelecomWebShop-BHTelecom-Site/bs_BA/-/BAM/ViewProduct-Start?SKU=100003" TargetMode="External"/><Relationship Id="rId271" Type="http://schemas.openxmlformats.org/officeDocument/2006/relationships/hyperlink" Target="mailto:info@kzzosa.ba" TargetMode="External"/><Relationship Id="rId24" Type="http://schemas.openxmlformats.org/officeDocument/2006/relationships/hyperlink" Target="mailto:mirsada@kcsr.ba" TargetMode="External"/><Relationship Id="rId45" Type="http://schemas.openxmlformats.org/officeDocument/2006/relationships/hyperlink" Target="https://www.gcs.ba/" TargetMode="External"/><Relationship Id="rId66" Type="http://schemas.openxmlformats.org/officeDocument/2006/relationships/hyperlink" Target="mailto:info@kzzosa.ba" TargetMode="External"/><Relationship Id="rId8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0" Type="http://schemas.openxmlformats.org/officeDocument/2006/relationships/hyperlink" Target="https://kcsr.ba/" TargetMode="External"/><Relationship Id="rId131" Type="http://schemas.openxmlformats.org/officeDocument/2006/relationships/hyperlink" Target="https://novosarajevo.ba/" TargetMode="External"/><Relationship Id="rId152" Type="http://schemas.openxmlformats.org/officeDocument/2006/relationships/hyperlink" Target="mailto:info@kzzosa.ba" TargetMode="External"/><Relationship Id="rId173" Type="http://schemas.openxmlformats.org/officeDocument/2006/relationships/hyperlink" Target="mailto:mirsada@kcsr.ba" TargetMode="External"/><Relationship Id="rId194" Type="http://schemas.openxmlformats.org/officeDocument/2006/relationships/hyperlink" Target="https://kcsr.ba/file/kcsr7/264" TargetMode="External"/><Relationship Id="rId208" Type="http://schemas.openxmlformats.org/officeDocument/2006/relationships/hyperlink" Target="mailto:mirsada@kcsr.ba" TargetMode="External"/><Relationship Id="rId22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1" Type="http://schemas.openxmlformats.org/officeDocument/2006/relationships/hyperlink" Target="https://sf.unsa.ba/pruzanje-oralno-hirurskih-i-stomatoloskih-usluga-za-djecu-sa-poteskocama-u-razvoju/" TargetMode="External"/><Relationship Id="rId14" Type="http://schemas.openxmlformats.org/officeDocument/2006/relationships/hyperlink" Target="https://kcsr.ba/" TargetMode="External"/><Relationship Id="rId35" Type="http://schemas.openxmlformats.org/officeDocument/2006/relationships/hyperlink" Target="https://www.centar.ba/gradjani/put-do-prava/porodica/treca-zivotna-dob" TargetMode="External"/><Relationship Id="rId56" Type="http://schemas.openxmlformats.org/officeDocument/2006/relationships/hyperlink" Target="mailto:socijalna.pitanja@novosarajevo.ba" TargetMode="External"/><Relationship Id="rId77" Type="http://schemas.openxmlformats.org/officeDocument/2006/relationships/hyperlink" Target="https://mup.ks.gov.ba/sites/mup.ks.gov.ba/files/2023-01/obrasci_znak_pristupacnosti.pdf" TargetMode="External"/><Relationship Id="rId100" Type="http://schemas.openxmlformats.org/officeDocument/2006/relationships/hyperlink" Target="https://www.kzzosa.ba/" TargetMode="External"/><Relationship Id="rId8" Type="http://schemas.openxmlformats.org/officeDocument/2006/relationships/hyperlink" Target="https://kcsr.ba/file/kcsr7/264" TargetMode="External"/><Relationship Id="rId98" Type="http://schemas.openxmlformats.org/officeDocument/2006/relationships/hyperlink" Target="https://www.kzzosa.ba/" TargetMode="External"/><Relationship Id="rId121" Type="http://schemas.openxmlformats.org/officeDocument/2006/relationships/hyperlink" Target="https://dombjelave.ba/bs" TargetMode="External"/><Relationship Id="rId142" Type="http://schemas.openxmlformats.org/officeDocument/2006/relationships/hyperlink" Target="mailto:info@kzzosa.ba" TargetMode="External"/><Relationship Id="rId163" Type="http://schemas.openxmlformats.org/officeDocument/2006/relationships/hyperlink" Target="https://kcsr.ba/file/kcsr13/268" TargetMode="External"/><Relationship Id="rId184" Type="http://schemas.openxmlformats.org/officeDocument/2006/relationships/hyperlink" Target="https://kcsr.ba/file/kcsr4/262" TargetMode="External"/><Relationship Id="rId219" Type="http://schemas.openxmlformats.org/officeDocument/2006/relationships/hyperlink" Target="https://www.opcinailidza.ba/services/sluzba-za-socijalna-pitanja-zdravstvo-izbjeglice-i-raseljena-lica" TargetMode="External"/><Relationship Id="rId230" Type="http://schemas.openxmlformats.org/officeDocument/2006/relationships/hyperlink" Target="mailto:sejda.topalovic@opcinailidza.ba" TargetMode="External"/><Relationship Id="rId251" Type="http://schemas.openxmlformats.org/officeDocument/2006/relationships/hyperlink" Target="https://mojwebshop.bhtelecom.ba/INTERSHOP/web/BOS/BHTelecomWebShop-BHTelecom-Site/bs_BA/-/BAM/ViewProduct-Start?SKU=100003" TargetMode="External"/><Relationship Id="rId25" Type="http://schemas.openxmlformats.org/officeDocument/2006/relationships/hyperlink" Target="https://kcsr.ba/file/kcsr-23/349" TargetMode="External"/><Relationship Id="rId46" Type="http://schemas.openxmlformats.org/officeDocument/2006/relationships/hyperlink" Target="mailto:info@gcs.ba" TargetMode="External"/><Relationship Id="rId67" Type="http://schemas.openxmlformats.org/officeDocument/2006/relationships/hyperlink" Target="https://www.kzzosa.ba/" TargetMode="External"/><Relationship Id="rId272" Type="http://schemas.openxmlformats.org/officeDocument/2006/relationships/hyperlink" Target="mailto:info@kzzosa.ba" TargetMode="External"/><Relationship Id="rId8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1" Type="http://schemas.openxmlformats.org/officeDocument/2006/relationships/hyperlink" Target="https://kcsr.ba/" TargetMode="External"/><Relationship Id="rId132" Type="http://schemas.openxmlformats.org/officeDocument/2006/relationships/hyperlink" Target="https://novosarajevo.ba/" TargetMode="External"/><Relationship Id="rId153" Type="http://schemas.openxmlformats.org/officeDocument/2006/relationships/hyperlink" Target="mailto:info@kzzosa.ba" TargetMode="External"/><Relationship Id="rId174" Type="http://schemas.openxmlformats.org/officeDocument/2006/relationships/hyperlink" Target="https://kcsr.ba/" TargetMode="External"/><Relationship Id="rId195" Type="http://schemas.openxmlformats.org/officeDocument/2006/relationships/hyperlink" Target="https://kcsr.ba/file/kcsr7/264" TargetMode="External"/><Relationship Id="rId209" Type="http://schemas.openxmlformats.org/officeDocument/2006/relationships/hyperlink" Target="mailto:mirsada@kcsr.ba" TargetMode="External"/><Relationship Id="rId220" Type="http://schemas.openxmlformats.org/officeDocument/2006/relationships/hyperlink" Target="https://www.opcinailidza.ba/services/sluzba-za-socijalna-pitanja-zdravstvo-izbjeglice-i-raseljena-lica" TargetMode="External"/><Relationship Id="rId241"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5" Type="http://schemas.openxmlformats.org/officeDocument/2006/relationships/hyperlink" Target="https://kcsr.ba/" TargetMode="External"/><Relationship Id="rId36" Type="http://schemas.openxmlformats.org/officeDocument/2006/relationships/hyperlink" Target="https://www.centar.ba/gradjani/put-do-prava/porodica/treca-zivotna-dob" TargetMode="External"/><Relationship Id="rId57" Type="http://schemas.openxmlformats.org/officeDocument/2006/relationships/hyperlink" Target="https://novosarajevo.ba/userfiles/doc/files/Odluka_o_uslovima.pdf" TargetMode="External"/><Relationship Id="rId262" Type="http://schemas.openxmlformats.org/officeDocument/2006/relationships/hyperlink" Target="https://sf.unsa.ba/pruzanje-oralno-hirurskih-i-stomatoloskih-usluga-za-djecu-sa-poteskocama-u-razvoju/" TargetMode="External"/><Relationship Id="rId78" Type="http://schemas.openxmlformats.org/officeDocument/2006/relationships/hyperlink" Target="https://mup.ks.gov.ba/sites/mup.ks.gov.ba/files/2023-01/obrasci_znak_pristupacnosti.pdf" TargetMode="External"/><Relationship Id="rId99" Type="http://schemas.openxmlformats.org/officeDocument/2006/relationships/hyperlink" Target="https://www.kzzosa.ba/" TargetMode="External"/><Relationship Id="rId101" Type="http://schemas.openxmlformats.org/officeDocument/2006/relationships/hyperlink" Target="https://www.kzzosa.ba/" TargetMode="External"/><Relationship Id="rId122" Type="http://schemas.openxmlformats.org/officeDocument/2006/relationships/hyperlink" Target="mailto:socijalna.pitanja@novosarajevo.ba" TargetMode="External"/><Relationship Id="rId143" Type="http://schemas.openxmlformats.org/officeDocument/2006/relationships/hyperlink" Target="mailto:info@kzzosa.ba" TargetMode="External"/><Relationship Id="rId164" Type="http://schemas.openxmlformats.org/officeDocument/2006/relationships/hyperlink" Target="https://kcsr.ba/file/kcsr13/268" TargetMode="External"/><Relationship Id="rId185" Type="http://schemas.openxmlformats.org/officeDocument/2006/relationships/hyperlink" Target="https://kcsr.ba/file/kcsr4/262" TargetMode="External"/><Relationship Id="rId9" Type="http://schemas.openxmlformats.org/officeDocument/2006/relationships/hyperlink" Target="https://kcsr.ba/file/kcsr7/264" TargetMode="External"/><Relationship Id="rId210" Type="http://schemas.openxmlformats.org/officeDocument/2006/relationships/hyperlink" Target="https://kcsr.ba/file/kcsr-23/349" TargetMode="External"/><Relationship Id="rId26" Type="http://schemas.openxmlformats.org/officeDocument/2006/relationships/hyperlink" Target="mailto:info@kcsr.ba" TargetMode="External"/><Relationship Id="rId231" Type="http://schemas.openxmlformats.org/officeDocument/2006/relationships/hyperlink" Target="mailto:sejda.topalovic@opcinailidza.ba" TargetMode="External"/><Relationship Id="rId252" Type="http://schemas.openxmlformats.org/officeDocument/2006/relationships/hyperlink" Target="https://mojwebshop.bhtelecom.ba/INTERSHOP/web/BOS/BHTelecomWebShop-BHTelecom-Site/bs_BA/-/BAM/ViewProduct-Start?SKU=100003" TargetMode="External"/><Relationship Id="rId273" Type="http://schemas.openxmlformats.org/officeDocument/2006/relationships/hyperlink" Target="mailto:info@kzzosa.ba" TargetMode="External"/><Relationship Id="rId47" Type="http://schemas.openxmlformats.org/officeDocument/2006/relationships/hyperlink" Target="https://dombjelave.ba/bs" TargetMode="External"/><Relationship Id="rId68" Type="http://schemas.openxmlformats.org/officeDocument/2006/relationships/hyperlink" Target="mailto:info@kzzosa.ba" TargetMode="External"/><Relationship Id="rId8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2" Type="http://schemas.openxmlformats.org/officeDocument/2006/relationships/hyperlink" Target="https://kcsr.ba/file/kcsr21/274" TargetMode="External"/><Relationship Id="rId133" Type="http://schemas.openxmlformats.org/officeDocument/2006/relationships/hyperlink" Target="https://novosarajevo.ba/" TargetMode="External"/><Relationship Id="rId154" Type="http://schemas.openxmlformats.org/officeDocument/2006/relationships/hyperlink" Target="https://www.kzzosa.ba/" TargetMode="External"/><Relationship Id="rId175" Type="http://schemas.openxmlformats.org/officeDocument/2006/relationships/hyperlink" Target="https://kcsr.ba/" TargetMode="External"/><Relationship Id="rId196" Type="http://schemas.openxmlformats.org/officeDocument/2006/relationships/hyperlink" Target="https://kcsr.ba/file/kcsr7/264" TargetMode="External"/><Relationship Id="rId200" Type="http://schemas.openxmlformats.org/officeDocument/2006/relationships/hyperlink" Target="https://kcsr.ba/file/kcsr7/264" TargetMode="External"/><Relationship Id="rId16" Type="http://schemas.openxmlformats.org/officeDocument/2006/relationships/hyperlink" Target="https://kcsr.ba/file/kcsr20/273" TargetMode="External"/><Relationship Id="rId221" Type="http://schemas.openxmlformats.org/officeDocument/2006/relationships/hyperlink" Target="https://www.opcinailidza.ba/services/sluzba-za-socijalna-pitanja-zdravstvo-izbjeglice-i-raseljena-lica" TargetMode="External"/><Relationship Id="rId242"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3" Type="http://schemas.openxmlformats.org/officeDocument/2006/relationships/hyperlink" Target="https://sf.unsa.ba/pruzanje-oralno-hirurskih-i-stomatoloskih-usluga-za-djecu-sa-poteskocama-u-razvoju/" TargetMode="External"/><Relationship Id="rId37" Type="http://schemas.openxmlformats.org/officeDocument/2006/relationships/hyperlink" Target="https://www.centar.ba/gradjani/put-do-prava/porodica/treca-zivotna-dob" TargetMode="External"/><Relationship Id="rId58" Type="http://schemas.openxmlformats.org/officeDocument/2006/relationships/hyperlink" Target="https://novosarajevo.ba/" TargetMode="External"/><Relationship Id="rId79" Type="http://schemas.openxmlformats.org/officeDocument/2006/relationships/hyperlink" Target="https://mo.ks.gov.ba/kontakti" TargetMode="External"/><Relationship Id="rId102" Type="http://schemas.openxmlformats.org/officeDocument/2006/relationships/hyperlink" Target="mailto:info@kzzosa.ba" TargetMode="External"/><Relationship Id="rId123" Type="http://schemas.openxmlformats.org/officeDocument/2006/relationships/hyperlink" Target="mailto:socijalna.pitanja@novosarajevo.ba" TargetMode="External"/><Relationship Id="rId144" Type="http://schemas.openxmlformats.org/officeDocument/2006/relationships/hyperlink" Target="mailto:info@kzzosa.ba" TargetMode="External"/><Relationship Id="rId9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65" Type="http://schemas.openxmlformats.org/officeDocument/2006/relationships/hyperlink" Target="https://kcsr.ba/file/kcsr13/268" TargetMode="External"/><Relationship Id="rId186" Type="http://schemas.openxmlformats.org/officeDocument/2006/relationships/hyperlink" Target="mailto:mirsada@kcsr.ba" TargetMode="External"/><Relationship Id="rId211" Type="http://schemas.openxmlformats.org/officeDocument/2006/relationships/hyperlink" Target="https://kcsr.ba/file/kcsr-23/349" TargetMode="External"/><Relationship Id="rId232" Type="http://schemas.openxmlformats.org/officeDocument/2006/relationships/hyperlink" Target="mailto:sejda.topalovic@opcinailidza.ba" TargetMode="External"/><Relationship Id="rId253" Type="http://schemas.openxmlformats.org/officeDocument/2006/relationships/hyperlink" Target="https://mojwebshop.bhtelecom.ba/INTERSHOP/web/BOS/BHTelecomWebShop-BHTelecom-Site/bs_BA/-/BAM/ViewProduct-Start?SKU=100003" TargetMode="External"/><Relationship Id="rId274" Type="http://schemas.openxmlformats.org/officeDocument/2006/relationships/hyperlink" Target="mailto:info@kzzosa.ba" TargetMode="External"/><Relationship Id="rId27" Type="http://schemas.openxmlformats.org/officeDocument/2006/relationships/hyperlink" Target="http://obrasci.pufbih.ba/images/stories/dohodak_docs/NoviObrazacPK1001hrv.pdf" TargetMode="External"/><Relationship Id="rId48" Type="http://schemas.openxmlformats.org/officeDocument/2006/relationships/hyperlink" Target="https://www.opcinailidza.ba/" TargetMode="External"/><Relationship Id="rId69" Type="http://schemas.openxmlformats.org/officeDocument/2006/relationships/hyperlink" Target="https://www.kzzosa.ba/" TargetMode="External"/><Relationship Id="rId113" Type="http://schemas.openxmlformats.org/officeDocument/2006/relationships/hyperlink" Target="https://kcsr.ba/file/kcsr21/274" TargetMode="External"/><Relationship Id="rId134" Type="http://schemas.openxmlformats.org/officeDocument/2006/relationships/hyperlink" Target="mailto:info@kzzosa.ba" TargetMode="External"/><Relationship Id="rId80" Type="http://schemas.openxmlformats.org/officeDocument/2006/relationships/hyperlink" Target="mailto:mo@mo.ks.gov.ba" TargetMode="External"/><Relationship Id="rId155" Type="http://schemas.openxmlformats.org/officeDocument/2006/relationships/hyperlink" Target="https://www.kzzosa.ba/" TargetMode="External"/><Relationship Id="rId176" Type="http://schemas.openxmlformats.org/officeDocument/2006/relationships/hyperlink" Target="https://kcsr.ba/" TargetMode="External"/><Relationship Id="rId197" Type="http://schemas.openxmlformats.org/officeDocument/2006/relationships/hyperlink" Target="https://kcsr.ba/file/kcsr7/264" TargetMode="External"/><Relationship Id="rId201" Type="http://schemas.openxmlformats.org/officeDocument/2006/relationships/hyperlink" Target="https://kcsr.ba/file/kcsr7/264" TargetMode="External"/><Relationship Id="rId222" Type="http://schemas.openxmlformats.org/officeDocument/2006/relationships/hyperlink" Target="mailto:sejda.topalovic@opcinailidza.ba" TargetMode="External"/><Relationship Id="rId243"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4" Type="http://schemas.openxmlformats.org/officeDocument/2006/relationships/hyperlink" Target="https://ap.ks.gov.ba/administrativni-postupak/izdavanje-znaka-pristupacnosti" TargetMode="External"/><Relationship Id="rId17" Type="http://schemas.openxmlformats.org/officeDocument/2006/relationships/hyperlink" Target="https://kcsr.ba/file/kcsr20/273" TargetMode="External"/><Relationship Id="rId38" Type="http://schemas.openxmlformats.org/officeDocument/2006/relationships/hyperlink" Target="https://www.centar.ba/gradjani/put-do-prava/socijalna-zastita/socijalna-zastita/stalna-novcana-pomoc-za-kupovinu-hljeba-i-mlijeka-penzioneri-sa-minimalnom-penzijom" TargetMode="External"/><Relationship Id="rId59" Type="http://schemas.openxmlformats.org/officeDocument/2006/relationships/hyperlink" Target="https://ap.ks.gov.ba/administrativni-postupak/izdavanje-znaka-pristupacnosti" TargetMode="External"/><Relationship Id="rId103" Type="http://schemas.openxmlformats.org/officeDocument/2006/relationships/hyperlink" Target="mailto:info@kzzosa.ba" TargetMode="External"/><Relationship Id="rId124" Type="http://schemas.openxmlformats.org/officeDocument/2006/relationships/hyperlink" Target="mailto:socijalna.pitanja@novosarajevo.ba" TargetMode="External"/><Relationship Id="rId70" Type="http://schemas.openxmlformats.org/officeDocument/2006/relationships/hyperlink" Target="mailto:info@kzzosa.ba" TargetMode="External"/><Relationship Id="rId91" Type="http://schemas.openxmlformats.org/officeDocument/2006/relationships/hyperlink" Target="mailto:sejda.topalovic@opcinailidza.ba" TargetMode="External"/><Relationship Id="rId145" Type="http://schemas.openxmlformats.org/officeDocument/2006/relationships/hyperlink" Target="mailto:info@kzzosa.ba" TargetMode="External"/><Relationship Id="rId166" Type="http://schemas.openxmlformats.org/officeDocument/2006/relationships/hyperlink" Target="https://kcsr.ba/" TargetMode="External"/><Relationship Id="rId187" Type="http://schemas.openxmlformats.org/officeDocument/2006/relationships/hyperlink" Target="mailto:mirsada@kcsr.ba" TargetMode="External"/><Relationship Id="rId1" Type="http://schemas.openxmlformats.org/officeDocument/2006/relationships/hyperlink" Target="https://kcsr.ba/" TargetMode="External"/><Relationship Id="rId212" Type="http://schemas.openxmlformats.org/officeDocument/2006/relationships/hyperlink" Target="https://kcsr.ba/file/kcsr-23/349" TargetMode="External"/><Relationship Id="rId233" Type="http://schemas.openxmlformats.org/officeDocument/2006/relationships/hyperlink" Target="mailto:sejda.topalovic@opcinailidza.ba" TargetMode="External"/><Relationship Id="rId254" Type="http://schemas.openxmlformats.org/officeDocument/2006/relationships/hyperlink" Target="https://www.kzzosa.ba/" TargetMode="External"/><Relationship Id="rId28" Type="http://schemas.openxmlformats.org/officeDocument/2006/relationships/hyperlink" Target="https://mz.ks.gov.ba/node/7923" TargetMode="External"/><Relationship Id="rId49" Type="http://schemas.openxmlformats.org/officeDocument/2006/relationships/hyperlink" Target="mailto:Edina.Icindic@opcinailidza.ba" TargetMode="External"/><Relationship Id="rId114" Type="http://schemas.openxmlformats.org/officeDocument/2006/relationships/hyperlink" Target="https://kcsr.ba/file/kcsr21/274" TargetMode="External"/><Relationship Id="rId275" Type="http://schemas.openxmlformats.org/officeDocument/2006/relationships/hyperlink" Target="http://www.sluzbenilist.ba/page/akt/lbKAkKGaEwg=" TargetMode="External"/><Relationship Id="rId60"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81" Type="http://schemas.openxmlformats.org/officeDocument/2006/relationships/hyperlink" Target="https://mo.ks.gov.ba/kontakti" TargetMode="External"/><Relationship Id="rId135" Type="http://schemas.openxmlformats.org/officeDocument/2006/relationships/hyperlink" Target="mailto:info@kzzosa.ba" TargetMode="External"/><Relationship Id="rId156" Type="http://schemas.openxmlformats.org/officeDocument/2006/relationships/hyperlink" Target="https://www.kzzosa.ba/" TargetMode="External"/><Relationship Id="rId177" Type="http://schemas.openxmlformats.org/officeDocument/2006/relationships/hyperlink" Target="https://kcsr.ba/" TargetMode="External"/><Relationship Id="rId198" Type="http://schemas.openxmlformats.org/officeDocument/2006/relationships/hyperlink" Target="https://kcsr.ba/file/kcsr7/264" TargetMode="External"/><Relationship Id="rId202" Type="http://schemas.openxmlformats.org/officeDocument/2006/relationships/hyperlink" Target="https://kcsr.ba/" TargetMode="External"/><Relationship Id="rId223" Type="http://schemas.openxmlformats.org/officeDocument/2006/relationships/hyperlink" Target="mailto:sejda.topalovic@opcinailidza.ba" TargetMode="External"/><Relationship Id="rId244"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8" Type="http://schemas.openxmlformats.org/officeDocument/2006/relationships/hyperlink" Target="https://kcsr.ba/" TargetMode="External"/><Relationship Id="rId39" Type="http://schemas.openxmlformats.org/officeDocument/2006/relationships/hyperlink" Target="https://www.centar.ba/gradjani/put-do-prava/socijalna-zastita/socijalna-zastita/stalna-novcana-pomoc-za-kupovinu-hljeba-i-mlijeka-lica-starija-od-60-godina-bez-primanja" TargetMode="External"/><Relationship Id="rId265" Type="http://schemas.openxmlformats.org/officeDocument/2006/relationships/hyperlink" Target="https://mup.ks.gov.ba/sites/mup.ks.gov.ba/files/2023-01/obrasci_znak_pristupacnosti.pdf" TargetMode="External"/><Relationship Id="rId50" Type="http://schemas.openxmlformats.org/officeDocument/2006/relationships/hyperlink" Target="https://www.opcinailidza.ba/uploads/files/shares/Elektronski_formulari/sl_obraz/zahtjev%20za%20sno%C5%A1enje%20tro%C5%A1kova%20prijevoza.pdf" TargetMode="External"/><Relationship Id="rId104" Type="http://schemas.openxmlformats.org/officeDocument/2006/relationships/hyperlink" Target="mailto:info@kzzosa.ba" TargetMode="External"/><Relationship Id="rId125" Type="http://schemas.openxmlformats.org/officeDocument/2006/relationships/hyperlink" Target="mailto:socijalna.pitanja@novosarajevo.ba" TargetMode="External"/><Relationship Id="rId146" Type="http://schemas.openxmlformats.org/officeDocument/2006/relationships/hyperlink" Target="https://www.kzzosa.ba/" TargetMode="External"/><Relationship Id="rId167" Type="http://schemas.openxmlformats.org/officeDocument/2006/relationships/hyperlink" Target="https://kcsr.ba/" TargetMode="External"/><Relationship Id="rId188" Type="http://schemas.openxmlformats.org/officeDocument/2006/relationships/hyperlink" Target="mailto:mirsada@kcsr.ba" TargetMode="External"/><Relationship Id="rId71" Type="http://schemas.openxmlformats.org/officeDocument/2006/relationships/hyperlink" Target="https://www.kzzosa.ba/" TargetMode="External"/><Relationship Id="rId92" Type="http://schemas.openxmlformats.org/officeDocument/2006/relationships/hyperlink" Target="https://sf.unsa.ba/pruzanje-oralno-hirurskih-i-stomatoloskih-usluga-za-djecu-sa-poteskocama-u-razvoju/" TargetMode="External"/><Relationship Id="rId213" Type="http://schemas.openxmlformats.org/officeDocument/2006/relationships/hyperlink" Target="https://kcsr.ba/file/kcsr-23/349" TargetMode="External"/><Relationship Id="rId234"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 Type="http://schemas.openxmlformats.org/officeDocument/2006/relationships/hyperlink" Target="https://kcsr.ba/file/kcsr4/262" TargetMode="External"/><Relationship Id="rId29" Type="http://schemas.openxmlformats.org/officeDocument/2006/relationships/hyperlink" Target="https://mz.ks.gov.ba/node/7923" TargetMode="External"/><Relationship Id="rId255" Type="http://schemas.openxmlformats.org/officeDocument/2006/relationships/hyperlink" Target="mailto:info@kzzosa.ba" TargetMode="External"/><Relationship Id="rId276" Type="http://schemas.openxmlformats.org/officeDocument/2006/relationships/hyperlink" Target="http://www.sluzbenilist.ba/page/akt/lbKAkKGaEwg=" TargetMode="External"/><Relationship Id="rId40" Type="http://schemas.openxmlformats.org/officeDocument/2006/relationships/hyperlink" Target="https://www.centar.ba/gradjani/put-do-prava/socijalna-zastita/socijalna-zastita/kupovina-lijekova-penzionerima-i-licima-preko-60-godina-starosti-bez-primanja" TargetMode="External"/><Relationship Id="rId115" Type="http://schemas.openxmlformats.org/officeDocument/2006/relationships/hyperlink" Target="https://kcsr.ba/file/kcsr21/274" TargetMode="External"/><Relationship Id="rId136" Type="http://schemas.openxmlformats.org/officeDocument/2006/relationships/hyperlink" Target="mailto:info@kzzosa.ba" TargetMode="External"/><Relationship Id="rId157" Type="http://schemas.openxmlformats.org/officeDocument/2006/relationships/hyperlink" Target="https://www.kzzosa.ba/" TargetMode="External"/><Relationship Id="rId178" Type="http://schemas.openxmlformats.org/officeDocument/2006/relationships/hyperlink" Target="https://kcsr.ba/file/kcsr4/262" TargetMode="External"/><Relationship Id="rId61" Type="http://schemas.openxmlformats.org/officeDocument/2006/relationships/hyperlink" Target="https://www.novigradsarajevo.ba/" TargetMode="External"/><Relationship Id="rId82" Type="http://schemas.openxmlformats.org/officeDocument/2006/relationships/hyperlink" Target="mailto:mo@mo.ks.gov.ba" TargetMode="External"/><Relationship Id="rId199" Type="http://schemas.openxmlformats.org/officeDocument/2006/relationships/hyperlink" Target="https://kcsr.ba/file/kcsr7/264" TargetMode="External"/><Relationship Id="rId203" Type="http://schemas.openxmlformats.org/officeDocument/2006/relationships/hyperlink" Target="https://kcsr.ba/" TargetMode="External"/><Relationship Id="rId19" Type="http://schemas.openxmlformats.org/officeDocument/2006/relationships/hyperlink" Target="https://kcsr.ba/file/kcsr21/274" TargetMode="External"/><Relationship Id="rId224" Type="http://schemas.openxmlformats.org/officeDocument/2006/relationships/hyperlink" Target="mailto:sejda.topalovic@opcinailidza.ba" TargetMode="External"/><Relationship Id="rId245"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6" Type="http://schemas.openxmlformats.org/officeDocument/2006/relationships/hyperlink" Target="https://mup.ks.gov.ba/sites/mup.ks.gov.ba/files/2023-01/obrasci_znak_pristupacnosti.pdf" TargetMode="External"/><Relationship Id="rId30" Type="http://schemas.openxmlformats.org/officeDocument/2006/relationships/hyperlink" Target="mailto:jasminka.ramic@mz.ks.gov.ba" TargetMode="External"/><Relationship Id="rId105" Type="http://schemas.openxmlformats.org/officeDocument/2006/relationships/hyperlink" Target="mailto:info@kzzosa.ba" TargetMode="External"/><Relationship Id="rId126" Type="http://schemas.openxmlformats.org/officeDocument/2006/relationships/hyperlink" Target="https://novosarajevo.ba/userfiles/doc/files/Odluka_o_uslovima.pdf" TargetMode="External"/><Relationship Id="rId147" Type="http://schemas.openxmlformats.org/officeDocument/2006/relationships/hyperlink" Target="https://www.kzzosa.ba/" TargetMode="External"/><Relationship Id="rId168" Type="http://schemas.openxmlformats.org/officeDocument/2006/relationships/hyperlink" Target="https://kcsr.ba/" TargetMode="External"/><Relationship Id="rId51" Type="http://schemas.openxmlformats.org/officeDocument/2006/relationships/hyperlink" Target="https://www.centar.ba/gradjani/put-do-prava/porodica/treca-zivotna-dob" TargetMode="External"/><Relationship Id="rId72" Type="http://schemas.openxmlformats.org/officeDocument/2006/relationships/hyperlink" Target="mailto:info@kzzosa.ba" TargetMode="External"/><Relationship Id="rId93" Type="http://schemas.openxmlformats.org/officeDocument/2006/relationships/hyperlink" Target="https://sf.unsa.ba/pruzanje-oralno-hirurskih-i-stomatoloskih-usluga-za-djecu-sa-poteskocama-u-razvoju/" TargetMode="External"/><Relationship Id="rId189" Type="http://schemas.openxmlformats.org/officeDocument/2006/relationships/hyperlink" Target="mailto:mirsada@kcsr.ba" TargetMode="External"/><Relationship Id="rId3" Type="http://schemas.openxmlformats.org/officeDocument/2006/relationships/hyperlink" Target="https://kcsr.ba/file/kcsr4/262" TargetMode="External"/><Relationship Id="rId214" Type="http://schemas.openxmlformats.org/officeDocument/2006/relationships/hyperlink" Target="http://obrasci.pufbih.ba/images/stories/dohodak_docs/NoviObrazacPK1001hrv.pdf" TargetMode="External"/><Relationship Id="rId235"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6"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277" Type="http://schemas.openxmlformats.org/officeDocument/2006/relationships/hyperlink" Target="mailto:info@centar.ba" TargetMode="External"/><Relationship Id="rId116" Type="http://schemas.openxmlformats.org/officeDocument/2006/relationships/hyperlink" Target="mailto:info@kcsr.ba" TargetMode="External"/><Relationship Id="rId137" Type="http://schemas.openxmlformats.org/officeDocument/2006/relationships/hyperlink" Target="mailto:info@kzzosa.ba" TargetMode="External"/><Relationship Id="rId158" Type="http://schemas.openxmlformats.org/officeDocument/2006/relationships/hyperlink" Target="https://kcsr.ba/file/kcsr13/268" TargetMode="External"/><Relationship Id="rId20" Type="http://schemas.openxmlformats.org/officeDocument/2006/relationships/hyperlink" Target="https://kcsr.ba/file/kcsr21/274" TargetMode="External"/><Relationship Id="rId41" Type="http://schemas.openxmlformats.org/officeDocument/2006/relationships/hyperlink" Target="https://www.gcs.ba/" TargetMode="External"/><Relationship Id="rId62" Type="http://schemas.openxmlformats.org/officeDocument/2006/relationships/hyperlink" Target="https://fond.ba/" TargetMode="External"/><Relationship Id="rId83" Type="http://schemas.openxmlformats.org/officeDocument/2006/relationships/hyperlink" Target="https://www.opcinailidza.ba/services/sluzba-za-socijalna-pitanja-zdravstvo-izbjeglice-i-raseljena-lica" TargetMode="External"/><Relationship Id="rId179" Type="http://schemas.openxmlformats.org/officeDocument/2006/relationships/hyperlink" Target="https://kcsr.ba/file/kcsr4/262" TargetMode="External"/><Relationship Id="rId190" Type="http://schemas.openxmlformats.org/officeDocument/2006/relationships/hyperlink" Target="https://kcsr.ba/" TargetMode="External"/><Relationship Id="rId204" Type="http://schemas.openxmlformats.org/officeDocument/2006/relationships/hyperlink" Target="https://kcsr.ba/" TargetMode="External"/><Relationship Id="rId225" Type="http://schemas.openxmlformats.org/officeDocument/2006/relationships/hyperlink" Target="mailto:sejda.topalovic@opcinailidza.ba" TargetMode="External"/><Relationship Id="rId24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7" Type="http://schemas.openxmlformats.org/officeDocument/2006/relationships/hyperlink" Target="https://mz.ks.gov.ba/node/7923" TargetMode="External"/><Relationship Id="rId106" Type="http://schemas.openxmlformats.org/officeDocument/2006/relationships/hyperlink" Target="mailto:zlatan.kulovic@centar.ba" TargetMode="External"/><Relationship Id="rId127" Type="http://schemas.openxmlformats.org/officeDocument/2006/relationships/hyperlink" Target="https://novosarajevo.ba/userfiles/doc/files/Odluka_o_uslovima.pdf" TargetMode="External"/><Relationship Id="rId10" Type="http://schemas.openxmlformats.org/officeDocument/2006/relationships/hyperlink" Target="https://kcsr.ba/" TargetMode="External"/><Relationship Id="rId31" Type="http://schemas.openxmlformats.org/officeDocument/2006/relationships/hyperlink" Target="https://mz.ks.gov.ba/" TargetMode="External"/><Relationship Id="rId52" Type="http://schemas.openxmlformats.org/officeDocument/2006/relationships/hyperlink" Target="mailto:lejla.dizdarevic@centar.ba" TargetMode="External"/><Relationship Id="rId73" Type="http://schemas.openxmlformats.org/officeDocument/2006/relationships/hyperlink" Target="https://www.kzzosa.ba/" TargetMode="External"/><Relationship Id="rId94" Type="http://schemas.openxmlformats.org/officeDocument/2006/relationships/hyperlink" Target="https://sf.unsa.ba/pruzanje-oralno-hirurskih-i-stomatoloskih-usluga-za-djecu-sa-poteskocama-u-razvoju/" TargetMode="External"/><Relationship Id="rId148" Type="http://schemas.openxmlformats.org/officeDocument/2006/relationships/hyperlink" Target="https://www.kzzosa.ba/" TargetMode="External"/><Relationship Id="rId169" Type="http://schemas.openxmlformats.org/officeDocument/2006/relationships/hyperlink" Target="https://kcsr.ba/" TargetMode="External"/><Relationship Id="rId4" Type="http://schemas.openxmlformats.org/officeDocument/2006/relationships/hyperlink" Target="https://kcsr.ba/" TargetMode="External"/><Relationship Id="rId180" Type="http://schemas.openxmlformats.org/officeDocument/2006/relationships/hyperlink" Target="https://kcsr.ba/file/kcsr4/262" TargetMode="External"/><Relationship Id="rId215" Type="http://schemas.openxmlformats.org/officeDocument/2006/relationships/hyperlink" Target="http://obrasci.pufbih.ba/images/stories/dohodak_docs/NoviObrazacPK1001hrv.pdf" TargetMode="External"/><Relationship Id="rId23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7" Type="http://schemas.openxmlformats.org/officeDocument/2006/relationships/hyperlink" Target="https://www.novigradsarajevo.ba/" TargetMode="External"/><Relationship Id="rId278" Type="http://schemas.openxmlformats.org/officeDocument/2006/relationships/vmlDrawing" Target="../drawings/vmlDrawing1.vml"/><Relationship Id="rId42" Type="http://schemas.openxmlformats.org/officeDocument/2006/relationships/hyperlink" Target="mailto:info@gcs.ba" TargetMode="External"/><Relationship Id="rId84" Type="http://schemas.openxmlformats.org/officeDocument/2006/relationships/hyperlink" Target="mailto:sejda.topalovic@opcinailidza.ba" TargetMode="External"/><Relationship Id="rId138" Type="http://schemas.openxmlformats.org/officeDocument/2006/relationships/hyperlink" Target="https://www.kzzosa.ba/" TargetMode="External"/><Relationship Id="rId191" Type="http://schemas.openxmlformats.org/officeDocument/2006/relationships/hyperlink" Target="https://kcsr.ba/" TargetMode="External"/><Relationship Id="rId205" Type="http://schemas.openxmlformats.org/officeDocument/2006/relationships/hyperlink" Target="https://kcsr.ba/" TargetMode="External"/><Relationship Id="rId24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07" Type="http://schemas.openxmlformats.org/officeDocument/2006/relationships/hyperlink" Target="mailto:zlatan.kulovic@centar.ba" TargetMode="External"/><Relationship Id="rId11" Type="http://schemas.openxmlformats.org/officeDocument/2006/relationships/hyperlink" Target="https://kcsr.ba/file/kcsr9/266" TargetMode="External"/><Relationship Id="rId53" Type="http://schemas.openxmlformats.org/officeDocument/2006/relationships/hyperlink" Target="https://centar.ba/documents/preview/93713/13-15-zahtjev-za-naknadu-troskova-prijevoza-djece-sa-invaliditetom" TargetMode="External"/><Relationship Id="rId149" Type="http://schemas.openxmlformats.org/officeDocument/2006/relationships/hyperlink" Target="https://www.kzzosa.ba/" TargetMode="External"/><Relationship Id="rId95" Type="http://schemas.openxmlformats.org/officeDocument/2006/relationships/hyperlink" Target="https://mojwebshop.bhtelecom.ba/INTERSHOP/web/BOS/BHTelecomWebShop-BHTelecom-Site/bs_BA/-/BAM/ViewProduct-Start?SKU=100003" TargetMode="External"/><Relationship Id="rId160" Type="http://schemas.openxmlformats.org/officeDocument/2006/relationships/hyperlink" Target="https://kcsr.ba/file/kcsr13/268" TargetMode="External"/><Relationship Id="rId216" Type="http://schemas.openxmlformats.org/officeDocument/2006/relationships/hyperlink" Target="http://obrasci.pufbih.ba/images/stories/dohodak_docs/NoviObrazacPK1001hrv.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s://imvzs.ba/podnosioci-zahtjev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gcs.ba/"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mailto:info@kcsr.ba" TargetMode="External"/><Relationship Id="rId21" Type="http://schemas.openxmlformats.org/officeDocument/2006/relationships/hyperlink" Target="mailto:mirsada@kcsr.ba" TargetMode="External"/><Relationship Id="rId42" Type="http://schemas.openxmlformats.org/officeDocument/2006/relationships/hyperlink" Target="mailto:info@gcs.ba" TargetMode="External"/><Relationship Id="rId47" Type="http://schemas.openxmlformats.org/officeDocument/2006/relationships/hyperlink" Target="mailto:socijalna.pitanja@novosarajevo.ba" TargetMode="External"/><Relationship Id="rId63" Type="http://schemas.openxmlformats.org/officeDocument/2006/relationships/hyperlink" Target="mailto:info@kzzosa.ba" TargetMode="External"/><Relationship Id="rId68" Type="http://schemas.openxmlformats.org/officeDocument/2006/relationships/hyperlink" Target="https://mup.ks.gov.ba/sites/mup.ks.gov.ba/files/2023-01/obrasci_znak_pristupacnosti.pdf" TargetMode="External"/><Relationship Id="rId84" Type="http://schemas.openxmlformats.org/officeDocument/2006/relationships/hyperlink" Target="https://www.fzmiopio.ba/wp-content/uploads/2022/11/tjelesno_bos.pdf" TargetMode="External"/><Relationship Id="rId89" Type="http://schemas.microsoft.com/office/2017/10/relationships/threadedComment" Target="../threadedComments/threadedComment2.xml"/><Relationship Id="rId16" Type="http://schemas.openxmlformats.org/officeDocument/2006/relationships/hyperlink" Target="https://kcsr.ba/file/kcsr20/273" TargetMode="External"/><Relationship Id="rId11" Type="http://schemas.openxmlformats.org/officeDocument/2006/relationships/hyperlink" Target="https://kcsr.ba/file/kcsr9/266" TargetMode="External"/><Relationship Id="rId32" Type="http://schemas.openxmlformats.org/officeDocument/2006/relationships/hyperlink" Target="mailto:mirsada@kcsr.ba" TargetMode="External"/><Relationship Id="rId37" Type="http://schemas.openxmlformats.org/officeDocument/2006/relationships/hyperlink" Target="https://www.centar.ba/gradjani/put-do-prava/socijalna-zastita/socijalna-zastita/stalna-novcana-pomoc-za-kupovinu-hljeba-i-mlijeka-lica-starija-od-60-godina-bez-primanja" TargetMode="External"/><Relationship Id="rId53" Type="http://schemas.openxmlformats.org/officeDocument/2006/relationships/hyperlink" Target="https://fond.ba/" TargetMode="External"/><Relationship Id="rId58" Type="http://schemas.openxmlformats.org/officeDocument/2006/relationships/hyperlink" Target="https://www.kzzosa.ba/" TargetMode="External"/><Relationship Id="rId74" Type="http://schemas.openxmlformats.org/officeDocument/2006/relationships/hyperlink" Target="https://www.fzmiopio.ba/wp-content/uploads/2022/11/invalidska_bos.pdf" TargetMode="External"/><Relationship Id="rId79" Type="http://schemas.openxmlformats.org/officeDocument/2006/relationships/hyperlink" Target="https://www.fzmiopio.ba/?lang=ba" TargetMode="External"/><Relationship Id="rId5" Type="http://schemas.openxmlformats.org/officeDocument/2006/relationships/hyperlink" Target="https://kcsr.ba/file/kcsr6/263" TargetMode="External"/><Relationship Id="rId14" Type="http://schemas.openxmlformats.org/officeDocument/2006/relationships/hyperlink" Target="https://kcsr.ba/" TargetMode="External"/><Relationship Id="rId22" Type="http://schemas.openxmlformats.org/officeDocument/2006/relationships/hyperlink" Target="mailto:mirsada@kcsr.ba" TargetMode="External"/><Relationship Id="rId27" Type="http://schemas.openxmlformats.org/officeDocument/2006/relationships/hyperlink" Target="http://obrasci.pufbih.ba/images/stories/dohodak_docs/NoviObrazacPK1001hrv.pdf" TargetMode="External"/><Relationship Id="rId30" Type="http://schemas.openxmlformats.org/officeDocument/2006/relationships/hyperlink" Target="mailto:jasminka.ramic@mz.ks.gov.ba" TargetMode="External"/><Relationship Id="rId35" Type="http://schemas.openxmlformats.org/officeDocument/2006/relationships/hyperlink" Target="https://www.centar.ba/gradjani/put-do-prava/porodica/treca-zivotna-dob" TargetMode="External"/><Relationship Id="rId43" Type="http://schemas.openxmlformats.org/officeDocument/2006/relationships/hyperlink" Target="https://www.gcs.ba/" TargetMode="External"/><Relationship Id="rId48" Type="http://schemas.openxmlformats.org/officeDocument/2006/relationships/hyperlink" Target="https://novosarajevo.ba/userfiles/doc/files/Odluka_o_uslovima.pdf" TargetMode="External"/><Relationship Id="rId56" Type="http://schemas.openxmlformats.org/officeDocument/2006/relationships/hyperlink" Target="https://www.kzzosa.ba/" TargetMode="External"/><Relationship Id="rId64" Type="http://schemas.openxmlformats.org/officeDocument/2006/relationships/hyperlink" Target="https://www.kzzosa.ba/" TargetMode="External"/><Relationship Id="rId69" Type="http://schemas.openxmlformats.org/officeDocument/2006/relationships/hyperlink" Target="https://www.gcs.ba/publikacija/zahtjev%20za%20kucnu%20njegu.pdf" TargetMode="External"/><Relationship Id="rId77" Type="http://schemas.openxmlformats.org/officeDocument/2006/relationships/hyperlink" Target="https://www.fzmiopio.ba/wp-content/uploads/2022/06/dizpsb-1.pdf" TargetMode="External"/><Relationship Id="rId8" Type="http://schemas.openxmlformats.org/officeDocument/2006/relationships/hyperlink" Target="https://kcsr.ba/file/kcsr7/264" TargetMode="External"/><Relationship Id="rId51"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72" Type="http://schemas.openxmlformats.org/officeDocument/2006/relationships/hyperlink" Target="https://www.kzzosa.ba/wp-content/uploads/2023/08/POSLOVNIK-O-RADU-KOMISIJE-ZA-TESKO-OBOLJELU-DJECU-SA-KS-IZVAN-KS.pdf" TargetMode="External"/><Relationship Id="rId80" Type="http://schemas.openxmlformats.org/officeDocument/2006/relationships/hyperlink" Target="mailto:sonja.toholj@fzmiopio.ba" TargetMode="External"/><Relationship Id="rId85" Type="http://schemas.openxmlformats.org/officeDocument/2006/relationships/printerSettings" Target="../printerSettings/printerSettings2.bin"/><Relationship Id="rId3" Type="http://schemas.openxmlformats.org/officeDocument/2006/relationships/hyperlink" Target="https://kcsr.ba/file/kcsr4/262" TargetMode="External"/><Relationship Id="rId12" Type="http://schemas.openxmlformats.org/officeDocument/2006/relationships/hyperlink" Target="https://kcsr.ba/file/kcsr13/268" TargetMode="External"/><Relationship Id="rId17" Type="http://schemas.openxmlformats.org/officeDocument/2006/relationships/hyperlink" Target="https://kcsr.ba/file/kcsr20/273" TargetMode="External"/><Relationship Id="rId25" Type="http://schemas.openxmlformats.org/officeDocument/2006/relationships/hyperlink" Target="https://kcsr.ba/file/kcsr-23/349" TargetMode="External"/><Relationship Id="rId33" Type="http://schemas.openxmlformats.org/officeDocument/2006/relationships/hyperlink" Target="https://www.centar.ba/gradjani/put-do-prava/porodica/treca-zivotna-dob" TargetMode="External"/><Relationship Id="rId38" Type="http://schemas.openxmlformats.org/officeDocument/2006/relationships/hyperlink" Target="https://www.centar.ba/gradjani/put-do-prava/socijalna-zastita/socijalna-zastita/kupovina-lijekova-penzionerima-i-licima-preko-60-godina-starosti-bez-primanja" TargetMode="External"/><Relationship Id="rId46" Type="http://schemas.openxmlformats.org/officeDocument/2006/relationships/hyperlink" Target="https://www.opcinailidza.ba/uploads/files/shares/Elektronski_formulari/sl_obraz/zahtjev%20za%20sno%C5%A1enje%20tro%C5%A1kova%20prijevoza.pdf" TargetMode="External"/><Relationship Id="rId59" Type="http://schemas.openxmlformats.org/officeDocument/2006/relationships/hyperlink" Target="mailto:info@kzzosa.ba" TargetMode="External"/><Relationship Id="rId67" Type="http://schemas.openxmlformats.org/officeDocument/2006/relationships/hyperlink" Target="https://mup.ks.gov.ba/sites/mup.ks.gov.ba/files/2023-01/obrasci_znak_pristupacnosti.pdf" TargetMode="External"/><Relationship Id="rId20" Type="http://schemas.openxmlformats.org/officeDocument/2006/relationships/hyperlink" Target="https://kcsr.ba/file/kcsr21/274" TargetMode="External"/><Relationship Id="rId41" Type="http://schemas.openxmlformats.org/officeDocument/2006/relationships/hyperlink" Target="https://www.gcs.ba/" TargetMode="External"/><Relationship Id="rId54" Type="http://schemas.openxmlformats.org/officeDocument/2006/relationships/hyperlink" Target="mailto:info@fond.ba" TargetMode="External"/><Relationship Id="rId62" Type="http://schemas.openxmlformats.org/officeDocument/2006/relationships/hyperlink" Target="https://www.kzzosa.ba/" TargetMode="External"/><Relationship Id="rId70" Type="http://schemas.openxmlformats.org/officeDocument/2006/relationships/hyperlink" Target="https://www.kzzosa.ba/wp-content/uploads/2023/08/Uputstvo-o-nacinu-i-postupku-ostvarivanja-prava-na-koristenje-medicinskih-sredstava-u-ZZO-KS-11_22.pdf" TargetMode="External"/><Relationship Id="rId75" Type="http://schemas.openxmlformats.org/officeDocument/2006/relationships/hyperlink" Target="https://www.fzmiopio.ba/?lang=ba" TargetMode="External"/><Relationship Id="rId83" Type="http://schemas.openxmlformats.org/officeDocument/2006/relationships/hyperlink" Target="https://www.fzmiopio.ba/wp-content/uploads/2022/06/dntb.pdf" TargetMode="External"/><Relationship Id="rId88" Type="http://schemas.openxmlformats.org/officeDocument/2006/relationships/comments" Target="../comments2.xml"/><Relationship Id="rId1" Type="http://schemas.openxmlformats.org/officeDocument/2006/relationships/hyperlink" Target="https://kcsr.ba/" TargetMode="External"/><Relationship Id="rId6" Type="http://schemas.openxmlformats.org/officeDocument/2006/relationships/hyperlink" Target="https://kcsr.ba/file/kcsr6/263" TargetMode="External"/><Relationship Id="rId15" Type="http://schemas.openxmlformats.org/officeDocument/2006/relationships/hyperlink" Target="https://kcsr.ba/" TargetMode="External"/><Relationship Id="rId23" Type="http://schemas.openxmlformats.org/officeDocument/2006/relationships/hyperlink" Target="https://kcsr.ba/" TargetMode="External"/><Relationship Id="rId28" Type="http://schemas.openxmlformats.org/officeDocument/2006/relationships/hyperlink" Target="https://mz.ks.gov.ba/node/7923" TargetMode="External"/><Relationship Id="rId36" Type="http://schemas.openxmlformats.org/officeDocument/2006/relationships/hyperlink" Target="https://www.centar.ba/gradjani/put-do-prava/socijalna-zastita/socijalna-zastita/stalna-novcana-pomoc-za-kupovinu-hljeba-i-mlijeka-penzioneri-sa-minimalnom-penzijom" TargetMode="External"/><Relationship Id="rId49" Type="http://schemas.openxmlformats.org/officeDocument/2006/relationships/hyperlink" Target="https://novosarajevo.ba/" TargetMode="External"/><Relationship Id="rId57" Type="http://schemas.openxmlformats.org/officeDocument/2006/relationships/hyperlink" Target="mailto:info@kzzosa.ba" TargetMode="External"/><Relationship Id="rId10" Type="http://schemas.openxmlformats.org/officeDocument/2006/relationships/hyperlink" Target="https://kcsr.ba/" TargetMode="External"/><Relationship Id="rId31" Type="http://schemas.openxmlformats.org/officeDocument/2006/relationships/hyperlink" Target="https://mz.ks.gov.ba/" TargetMode="External"/><Relationship Id="rId44" Type="http://schemas.openxmlformats.org/officeDocument/2006/relationships/hyperlink" Target="mailto:info@gcs.ba" TargetMode="External"/><Relationship Id="rId52" Type="http://schemas.openxmlformats.org/officeDocument/2006/relationships/hyperlink" Target="https://www.novigradsarajevo.ba/" TargetMode="External"/><Relationship Id="rId60" Type="http://schemas.openxmlformats.org/officeDocument/2006/relationships/hyperlink" Target="https://www.kzzosa.ba/" TargetMode="External"/><Relationship Id="rId65" Type="http://schemas.openxmlformats.org/officeDocument/2006/relationships/hyperlink" Target="mailto:info@kzzosa.ba" TargetMode="External"/><Relationship Id="rId73" Type="http://schemas.openxmlformats.org/officeDocument/2006/relationships/hyperlink" Target="https://www.kzzosa.ba/wp-content/uploads/2023/08/covid_lijek_pravilnik_20220516-1.pdf" TargetMode="External"/><Relationship Id="rId78" Type="http://schemas.openxmlformats.org/officeDocument/2006/relationships/hyperlink" Target="https://www.fzmiopio.ba/wp-content/uploads/2022/11/inavlidska_policija_bos.pdf" TargetMode="External"/><Relationship Id="rId81" Type="http://schemas.openxmlformats.org/officeDocument/2006/relationships/hyperlink" Target="mailto:sonja.toholj@fzmiopio.ba" TargetMode="External"/><Relationship Id="rId86" Type="http://schemas.openxmlformats.org/officeDocument/2006/relationships/vmlDrawing" Target="../drawings/vmlDrawing2.vml"/><Relationship Id="rId4" Type="http://schemas.openxmlformats.org/officeDocument/2006/relationships/hyperlink" Target="https://kcsr.ba/" TargetMode="External"/><Relationship Id="rId9" Type="http://schemas.openxmlformats.org/officeDocument/2006/relationships/hyperlink" Target="https://kcsr.ba/file/kcsr7/264" TargetMode="External"/><Relationship Id="rId13" Type="http://schemas.openxmlformats.org/officeDocument/2006/relationships/hyperlink" Target="https://kcsr.ba/file/kcsr13/268" TargetMode="External"/><Relationship Id="rId18" Type="http://schemas.openxmlformats.org/officeDocument/2006/relationships/hyperlink" Target="https://kcsr.ba/" TargetMode="External"/><Relationship Id="rId39" Type="http://schemas.openxmlformats.org/officeDocument/2006/relationships/hyperlink" Target="https://www.gcs.ba/" TargetMode="External"/><Relationship Id="rId34" Type="http://schemas.openxmlformats.org/officeDocument/2006/relationships/hyperlink" Target="https://www.centar.ba/gradjani/put-do-prava/porodica/treca-zivotna-dob" TargetMode="External"/><Relationship Id="rId50" Type="http://schemas.openxmlformats.org/officeDocument/2006/relationships/hyperlink" Target="https://ap.ks.gov.ba/administrativni-postupak/izdavanje-znaka-pristupacnosti" TargetMode="External"/><Relationship Id="rId55" Type="http://schemas.openxmlformats.org/officeDocument/2006/relationships/hyperlink" Target="https://fond.ba/uputstvo-za-potpisivanje-ugovora-programi-9/" TargetMode="External"/><Relationship Id="rId76" Type="http://schemas.openxmlformats.org/officeDocument/2006/relationships/hyperlink" Target="mailto:sonja.toholj@fzmiopio.ba" TargetMode="External"/><Relationship Id="rId7" Type="http://schemas.openxmlformats.org/officeDocument/2006/relationships/hyperlink" Target="https://kcsr.ba/" TargetMode="External"/><Relationship Id="rId71" Type="http://schemas.openxmlformats.org/officeDocument/2006/relationships/hyperlink" Target="https://www.kzzosa.ba/wp-content/uploads/2023/08/Procedura-o-utvrdjivanju-prava-osiguranih-osoba-na-medicinsku-rehabilitaciju-11_2022.pdf" TargetMode="External"/><Relationship Id="rId2" Type="http://schemas.openxmlformats.org/officeDocument/2006/relationships/hyperlink" Target="https://kcsr.ba/file/kcsr4/262" TargetMode="External"/><Relationship Id="rId29" Type="http://schemas.openxmlformats.org/officeDocument/2006/relationships/hyperlink" Target="https://mz.ks.gov.ba/node/7923" TargetMode="External"/><Relationship Id="rId24" Type="http://schemas.openxmlformats.org/officeDocument/2006/relationships/hyperlink" Target="mailto:mirsada@kcsr.ba" TargetMode="External"/><Relationship Id="rId40" Type="http://schemas.openxmlformats.org/officeDocument/2006/relationships/hyperlink" Target="mailto:info@gcs.ba" TargetMode="External"/><Relationship Id="rId45" Type="http://schemas.openxmlformats.org/officeDocument/2006/relationships/hyperlink" Target="https://dombjelave.ba/bs" TargetMode="External"/><Relationship Id="rId66" Type="http://schemas.openxmlformats.org/officeDocument/2006/relationships/hyperlink" Target="mailto:info@kzzosa.ba" TargetMode="External"/><Relationship Id="rId87" Type="http://schemas.openxmlformats.org/officeDocument/2006/relationships/table" Target="../tables/table2.xml"/><Relationship Id="rId61" Type="http://schemas.openxmlformats.org/officeDocument/2006/relationships/hyperlink" Target="mailto:info@kzzosa.ba" TargetMode="External"/><Relationship Id="rId82" Type="http://schemas.openxmlformats.org/officeDocument/2006/relationships/hyperlink" Target="https://www.fzmiopio.ba/?lang=ba" TargetMode="External"/><Relationship Id="rId19" Type="http://schemas.openxmlformats.org/officeDocument/2006/relationships/hyperlink" Target="https://kcsr.ba/file/kcsr21/274"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3" Type="http://schemas.openxmlformats.org/officeDocument/2006/relationships/hyperlink" Target="mailto:sejda.topalovic@opcinailidza.ba" TargetMode="External"/><Relationship Id="rId18" Type="http://schemas.openxmlformats.org/officeDocument/2006/relationships/hyperlink" Target="http://www.sluzbenilist.ba/page/akt/lbKAkKGaEwg=&#8211;%20Odlukom%20nadzornog%20odbora%20&#381;eljeznica%20BiH" TargetMode="External"/><Relationship Id="rId26" Type="http://schemas.openxmlformats.org/officeDocument/2006/relationships/hyperlink" Target="https://www.centar.ba/documents/preview/53971/javni-poziv-za-dodjelu-jednokratne-novcane-pomoci-putem-sufinansiranja-troskova-nabavke-ortopedskih-pomagala-i-prilagodjavanje-stambenih-objekata-i-motornih-vozila-invalidnim-licima" TargetMode="External"/><Relationship Id="rId3" Type="http://schemas.openxmlformats.org/officeDocument/2006/relationships/hyperlink" Target="https://mo.ks.gov.ba/kontakti" TargetMode="External"/><Relationship Id="rId21" Type="http://schemas.openxmlformats.org/officeDocument/2006/relationships/hyperlink" Target="mailto:kabinet@zfbh.ba" TargetMode="External"/><Relationship Id="rId7" Type="http://schemas.openxmlformats.org/officeDocument/2006/relationships/hyperlink" Target="mailto:sejda.topalovic@opcinailidza.ba" TargetMode="External"/><Relationship Id="rId12"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7" Type="http://schemas.openxmlformats.org/officeDocument/2006/relationships/hyperlink" Target="https://mojwebshop.bhtelecom.ba/INTERSHOP/web/BOS/BHTelecomWebShop-BHTelecom-Site/bs_BA/-/BAM/ViewProduct-Start?SKU=100003" TargetMode="External"/><Relationship Id="rId25" Type="http://schemas.openxmlformats.org/officeDocument/2006/relationships/hyperlink" Target="https://www.centar.ba/gradjani/put-do-prava/porodica/treca-zivotna-dob" TargetMode="External"/><Relationship Id="rId2" Type="http://schemas.openxmlformats.org/officeDocument/2006/relationships/hyperlink" Target="mailto:mo@mo.ks.gov.ba" TargetMode="External"/><Relationship Id="rId16" Type="http://schemas.openxmlformats.org/officeDocument/2006/relationships/hyperlink" Target="https://sf.unsa.ba/pruzanje-oralno-hirurskih-i-stomatoloskih-usluga-za-djecu-sa-poteskocama-u-razvoju/" TargetMode="External"/><Relationship Id="rId20" Type="http://schemas.openxmlformats.org/officeDocument/2006/relationships/hyperlink" Target="mailto:info@kzzosa.ba" TargetMode="External"/><Relationship Id="rId1" Type="http://schemas.openxmlformats.org/officeDocument/2006/relationships/hyperlink" Target="https://mo.ks.gov.ba/kontakti" TargetMode="External"/><Relationship Id="rId6" Type="http://schemas.openxmlformats.org/officeDocument/2006/relationships/hyperlink" Target="mailto:sejda.topalovic@opcinailidza.ba" TargetMode="External"/><Relationship Id="rId11"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 Type="http://schemas.openxmlformats.org/officeDocument/2006/relationships/hyperlink" Target="https://porodicno.ba/" TargetMode="External"/><Relationship Id="rId5" Type="http://schemas.openxmlformats.org/officeDocument/2006/relationships/hyperlink" Target="https://www.opcinailidza.ba/services/sluzba-za-socijalna-pitanja-zdravstvo-izbjeglice-i-raseljena-lica" TargetMode="External"/><Relationship Id="rId15" Type="http://schemas.openxmlformats.org/officeDocument/2006/relationships/hyperlink" Target="https://sf.unsa.ba/pruzanje-oralno-hirurskih-i-stomatoloskih-usluga-za-djecu-sa-poteskocama-u-razvoju/" TargetMode="External"/><Relationship Id="rId23" Type="http://schemas.openxmlformats.org/officeDocument/2006/relationships/hyperlink" Target="https://porodicno.ba/" TargetMode="External"/><Relationship Id="rId1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9" Type="http://schemas.openxmlformats.org/officeDocument/2006/relationships/hyperlink" Target="https://www.kzzosa.ba/" TargetMode="External"/><Relationship Id="rId4" Type="http://schemas.openxmlformats.org/officeDocument/2006/relationships/hyperlink" Target="mailto:mo@mo.ks.gov.ba" TargetMode="External"/><Relationship Id="rId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4" Type="http://schemas.openxmlformats.org/officeDocument/2006/relationships/hyperlink" Target="https://sf.unsa.ba/pruzanje-oralno-hirurskih-i-stomatoloskih-usluga-za-djecu-sa-poteskocama-u-razvoju/" TargetMode="External"/><Relationship Id="rId22" Type="http://schemas.openxmlformats.org/officeDocument/2006/relationships/hyperlink" Target="https://www.zfbh.ba/kontakt/" TargetMode="External"/><Relationship Id="rId27"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6" Type="http://schemas.openxmlformats.org/officeDocument/2006/relationships/hyperlink" Target="mailto:info@kcsr.ba" TargetMode="External"/><Relationship Id="rId21" Type="http://schemas.openxmlformats.org/officeDocument/2006/relationships/hyperlink" Target="mailto:mirsada@kcsr.ba" TargetMode="External"/><Relationship Id="rId42" Type="http://schemas.openxmlformats.org/officeDocument/2006/relationships/hyperlink" Target="mailto:info@gcs.ba" TargetMode="External"/><Relationship Id="rId47" Type="http://schemas.openxmlformats.org/officeDocument/2006/relationships/hyperlink" Target="https://dombjelave.ba/bs" TargetMode="External"/><Relationship Id="rId63" Type="http://schemas.openxmlformats.org/officeDocument/2006/relationships/hyperlink" Target="mailto:info@fond.ba" TargetMode="External"/><Relationship Id="rId68" Type="http://schemas.openxmlformats.org/officeDocument/2006/relationships/hyperlink" Target="mailto:info@kzzosa.ba" TargetMode="External"/><Relationship Id="rId84" Type="http://schemas.openxmlformats.org/officeDocument/2006/relationships/hyperlink" Target="mailto:sejda.topalovic@opcinailidza.ba" TargetMode="External"/><Relationship Id="rId8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6" Type="http://schemas.openxmlformats.org/officeDocument/2006/relationships/hyperlink" Target="https://kcsr.ba/file/kcsr20/273" TargetMode="External"/><Relationship Id="rId11" Type="http://schemas.openxmlformats.org/officeDocument/2006/relationships/hyperlink" Target="https://kcsr.ba/file/kcsr9/266" TargetMode="External"/><Relationship Id="rId32" Type="http://schemas.openxmlformats.org/officeDocument/2006/relationships/hyperlink" Target="mailto:mirsada@kcsr.ba" TargetMode="External"/><Relationship Id="rId37" Type="http://schemas.openxmlformats.org/officeDocument/2006/relationships/hyperlink" Target="https://www.centar.ba/gradjani/put-do-prava/porodica/treca-zivotna-dob" TargetMode="External"/><Relationship Id="rId53" Type="http://schemas.openxmlformats.org/officeDocument/2006/relationships/hyperlink" Target="https://centar.ba/documents/preview/93713/13-15-zahtjev-za-naknadu-troskova-prijevoza-djece-sa-invaliditetom" TargetMode="External"/><Relationship Id="rId58" Type="http://schemas.openxmlformats.org/officeDocument/2006/relationships/hyperlink" Target="https://novosarajevo.ba/" TargetMode="External"/><Relationship Id="rId74" Type="http://schemas.openxmlformats.org/officeDocument/2006/relationships/hyperlink" Target="mailto:info@kzzosa.ba" TargetMode="External"/><Relationship Id="rId79" Type="http://schemas.openxmlformats.org/officeDocument/2006/relationships/hyperlink" Target="https://mo.ks.gov.ba/kontakti" TargetMode="External"/><Relationship Id="rId5" Type="http://schemas.openxmlformats.org/officeDocument/2006/relationships/hyperlink" Target="https://kcsr.ba/file/kcsr6/263" TargetMode="External"/><Relationship Id="rId9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95" Type="http://schemas.openxmlformats.org/officeDocument/2006/relationships/hyperlink" Target="https://mojwebshop.bhtelecom.ba/INTERSHOP/web/BOS/BHTelecomWebShop-BHTelecom-Site/bs_BA/-/BAM/ViewProduct-Start?SKU=100003" TargetMode="External"/><Relationship Id="rId22" Type="http://schemas.openxmlformats.org/officeDocument/2006/relationships/hyperlink" Target="mailto:mirsada@kcsr.ba" TargetMode="External"/><Relationship Id="rId27" Type="http://schemas.openxmlformats.org/officeDocument/2006/relationships/hyperlink" Target="http://obrasci.pufbih.ba/images/stories/dohodak_docs/NoviObrazacPK1001hrv.pdf" TargetMode="External"/><Relationship Id="rId43" Type="http://schemas.openxmlformats.org/officeDocument/2006/relationships/hyperlink" Target="https://www.gcs.ba/" TargetMode="External"/><Relationship Id="rId48" Type="http://schemas.openxmlformats.org/officeDocument/2006/relationships/hyperlink" Target="https://www.opcinailidza.ba/" TargetMode="External"/><Relationship Id="rId64" Type="http://schemas.openxmlformats.org/officeDocument/2006/relationships/hyperlink" Target="https://fond.ba/uputstvo-za-potpisivanje-ugovora-programi-9/" TargetMode="External"/><Relationship Id="rId69" Type="http://schemas.openxmlformats.org/officeDocument/2006/relationships/hyperlink" Target="https://www.kzzosa.ba/" TargetMode="External"/><Relationship Id="rId80" Type="http://schemas.openxmlformats.org/officeDocument/2006/relationships/hyperlink" Target="mailto:mo@mo.ks.gov.ba" TargetMode="External"/><Relationship Id="rId85" Type="http://schemas.openxmlformats.org/officeDocument/2006/relationships/hyperlink" Target="mailto:sejda.topalovic@opcinailidza.ba" TargetMode="External"/><Relationship Id="rId3" Type="http://schemas.openxmlformats.org/officeDocument/2006/relationships/hyperlink" Target="https://kcsr.ba/file/kcsr4/262" TargetMode="External"/><Relationship Id="rId12" Type="http://schemas.openxmlformats.org/officeDocument/2006/relationships/hyperlink" Target="https://kcsr.ba/file/kcsr13/268" TargetMode="External"/><Relationship Id="rId17" Type="http://schemas.openxmlformats.org/officeDocument/2006/relationships/hyperlink" Target="https://kcsr.ba/file/kcsr20/273" TargetMode="External"/><Relationship Id="rId25" Type="http://schemas.openxmlformats.org/officeDocument/2006/relationships/hyperlink" Target="https://kcsr.ba/file/kcsr-23/349" TargetMode="External"/><Relationship Id="rId33" Type="http://schemas.openxmlformats.org/officeDocument/2006/relationships/hyperlink" Target="https://www.centar.ba/gradjani/put-do-prava/socijalna-zastita/socijalna-zastita/novcana-pomoc-za-troskove-kucne-njege" TargetMode="External"/><Relationship Id="rId38" Type="http://schemas.openxmlformats.org/officeDocument/2006/relationships/hyperlink" Target="https://www.centar.ba/gradjani/put-do-prava/socijalna-zastita/socijalna-zastita/stalna-novcana-pomoc-za-kupovinu-hljeba-i-mlijeka-penzioneri-sa-minimalnom-penzijom" TargetMode="External"/><Relationship Id="rId46" Type="http://schemas.openxmlformats.org/officeDocument/2006/relationships/hyperlink" Target="mailto:info@gcs.ba" TargetMode="External"/><Relationship Id="rId59" Type="http://schemas.openxmlformats.org/officeDocument/2006/relationships/hyperlink" Target="https://ap.ks.gov.ba/administrativni-postupak/izdavanje-znaka-pristupacnosti" TargetMode="External"/><Relationship Id="rId67" Type="http://schemas.openxmlformats.org/officeDocument/2006/relationships/hyperlink" Target="https://www.kzzosa.ba/" TargetMode="External"/><Relationship Id="rId20" Type="http://schemas.openxmlformats.org/officeDocument/2006/relationships/hyperlink" Target="https://kcsr.ba/file/kcsr21/274" TargetMode="External"/><Relationship Id="rId41" Type="http://schemas.openxmlformats.org/officeDocument/2006/relationships/hyperlink" Target="https://www.gcs.ba/" TargetMode="External"/><Relationship Id="rId54" Type="http://schemas.openxmlformats.org/officeDocument/2006/relationships/hyperlink" Target="https://www.novigradsarajevo.ba/document/zahtjev-za-naknadu-troskova-prijevoza-ucenika-ca-s-poteskocama-u-kretanju/" TargetMode="External"/><Relationship Id="rId62" Type="http://schemas.openxmlformats.org/officeDocument/2006/relationships/hyperlink" Target="https://fond.ba/" TargetMode="External"/><Relationship Id="rId70" Type="http://schemas.openxmlformats.org/officeDocument/2006/relationships/hyperlink" Target="mailto:info@kzzosa.ba" TargetMode="External"/><Relationship Id="rId75" Type="http://schemas.openxmlformats.org/officeDocument/2006/relationships/hyperlink" Target="mailto:info@kzzosa.ba" TargetMode="External"/><Relationship Id="rId83" Type="http://schemas.openxmlformats.org/officeDocument/2006/relationships/hyperlink" Target="https://www.opcinailidza.ba/services/sluzba-za-socijalna-pitanja-zdravstvo-izbjeglice-i-raseljena-lica" TargetMode="External"/><Relationship Id="rId8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91" Type="http://schemas.openxmlformats.org/officeDocument/2006/relationships/hyperlink" Target="mailto:sejda.topalovic@opcinailidza.ba" TargetMode="External"/><Relationship Id="rId96" Type="http://schemas.openxmlformats.org/officeDocument/2006/relationships/hyperlink" Target="http://www.sluzbenilist.ba/page/akt/lbKAkKGaEwg=" TargetMode="External"/><Relationship Id="rId1" Type="http://schemas.openxmlformats.org/officeDocument/2006/relationships/hyperlink" Target="https://kcsr.ba/" TargetMode="External"/><Relationship Id="rId6" Type="http://schemas.openxmlformats.org/officeDocument/2006/relationships/hyperlink" Target="https://kcsr.ba/file/kcsr6/263" TargetMode="External"/><Relationship Id="rId15" Type="http://schemas.openxmlformats.org/officeDocument/2006/relationships/hyperlink" Target="https://kcsr.ba/" TargetMode="External"/><Relationship Id="rId23" Type="http://schemas.openxmlformats.org/officeDocument/2006/relationships/hyperlink" Target="https://kcsr.ba/" TargetMode="External"/><Relationship Id="rId28" Type="http://schemas.openxmlformats.org/officeDocument/2006/relationships/hyperlink" Target="https://mz.ks.gov.ba/node/7923" TargetMode="External"/><Relationship Id="rId36" Type="http://schemas.openxmlformats.org/officeDocument/2006/relationships/hyperlink" Target="https://www.centar.ba/gradjani/put-do-prava/porodica/treca-zivotna-dob" TargetMode="External"/><Relationship Id="rId49" Type="http://schemas.openxmlformats.org/officeDocument/2006/relationships/hyperlink" Target="mailto:Edina.Icindic@opcinailidza.ba" TargetMode="External"/><Relationship Id="rId57" Type="http://schemas.openxmlformats.org/officeDocument/2006/relationships/hyperlink" Target="https://novosarajevo.ba/userfiles/doc/files/Odluka_o_uslovima.pdf" TargetMode="External"/><Relationship Id="rId10" Type="http://schemas.openxmlformats.org/officeDocument/2006/relationships/hyperlink" Target="https://kcsr.ba/" TargetMode="External"/><Relationship Id="rId31" Type="http://schemas.openxmlformats.org/officeDocument/2006/relationships/hyperlink" Target="https://mz.ks.gov.ba/" TargetMode="External"/><Relationship Id="rId44" Type="http://schemas.openxmlformats.org/officeDocument/2006/relationships/hyperlink" Target="mailto:info@gcs.ba" TargetMode="External"/><Relationship Id="rId52" Type="http://schemas.openxmlformats.org/officeDocument/2006/relationships/hyperlink" Target="mailto:lejla.dizdarevic@centar.ba" TargetMode="External"/><Relationship Id="rId60"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65" Type="http://schemas.openxmlformats.org/officeDocument/2006/relationships/hyperlink" Target="https://www.kzzosa.ba/" TargetMode="External"/><Relationship Id="rId73" Type="http://schemas.openxmlformats.org/officeDocument/2006/relationships/hyperlink" Target="https://www.kzzosa.ba/" TargetMode="External"/><Relationship Id="rId78" Type="http://schemas.openxmlformats.org/officeDocument/2006/relationships/hyperlink" Target="https://mup.ks.gov.ba/sites/mup.ks.gov.ba/files/2023-01/obrasci_znak_pristupacnosti.pdf" TargetMode="External"/><Relationship Id="rId81" Type="http://schemas.openxmlformats.org/officeDocument/2006/relationships/hyperlink" Target="https://mo.ks.gov.ba/kontakti" TargetMode="External"/><Relationship Id="rId8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94" Type="http://schemas.openxmlformats.org/officeDocument/2006/relationships/hyperlink" Target="https://sf.unsa.ba/pruzanje-oralno-hirurskih-i-stomatoloskih-usluga-za-djecu-sa-poteskocama-u-razvoju/" TargetMode="External"/><Relationship Id="rId99" Type="http://schemas.openxmlformats.org/officeDocument/2006/relationships/comments" Target="../comments3.xml"/><Relationship Id="rId4" Type="http://schemas.openxmlformats.org/officeDocument/2006/relationships/hyperlink" Target="https://kcsr.ba/" TargetMode="External"/><Relationship Id="rId9" Type="http://schemas.openxmlformats.org/officeDocument/2006/relationships/hyperlink" Target="https://kcsr.ba/file/kcsr7/264" TargetMode="External"/><Relationship Id="rId13" Type="http://schemas.openxmlformats.org/officeDocument/2006/relationships/hyperlink" Target="https://kcsr.ba/file/kcsr13/268" TargetMode="External"/><Relationship Id="rId18" Type="http://schemas.openxmlformats.org/officeDocument/2006/relationships/hyperlink" Target="https://kcsr.ba/" TargetMode="External"/><Relationship Id="rId39" Type="http://schemas.openxmlformats.org/officeDocument/2006/relationships/hyperlink" Target="https://www.centar.ba/gradjani/put-do-prava/socijalna-zastita/socijalna-zastita/stalna-novcana-pomoc-za-kupovinu-hljeba-i-mlijeka-lica-starija-od-60-godina-bez-primanja" TargetMode="External"/><Relationship Id="rId34" Type="http://schemas.openxmlformats.org/officeDocument/2006/relationships/hyperlink" Target="https://www.centar.ba/gradjani/put-do-prava/porodica/treca-zivotna-dob" TargetMode="External"/><Relationship Id="rId50" Type="http://schemas.openxmlformats.org/officeDocument/2006/relationships/hyperlink" Target="https://www.opcinailidza.ba/uploads/files/shares/Elektronski_formulari/sl_obraz/zahtjev%20za%20sno%C5%A1enje%20tro%C5%A1kova%20prijevoza.pdf" TargetMode="External"/><Relationship Id="rId55" Type="http://schemas.openxmlformats.org/officeDocument/2006/relationships/hyperlink" Target="https://www.novigradsarajevo.ba/" TargetMode="External"/><Relationship Id="rId76" Type="http://schemas.openxmlformats.org/officeDocument/2006/relationships/hyperlink" Target="https://eregistar.centar.ba/registar/12-21-pravo-na-dodatak-za-njegu-i-pomoc-od-strane-drugog-lica-czr/" TargetMode="External"/><Relationship Id="rId97" Type="http://schemas.openxmlformats.org/officeDocument/2006/relationships/hyperlink" Target="mailto:zlatan.kulovic@centar.ba" TargetMode="External"/><Relationship Id="rId7" Type="http://schemas.openxmlformats.org/officeDocument/2006/relationships/hyperlink" Target="https://kcsr.ba/" TargetMode="External"/><Relationship Id="rId71" Type="http://schemas.openxmlformats.org/officeDocument/2006/relationships/hyperlink" Target="https://www.kzzosa.ba/" TargetMode="External"/><Relationship Id="rId92" Type="http://schemas.openxmlformats.org/officeDocument/2006/relationships/hyperlink" Target="https://sf.unsa.ba/pruzanje-oralno-hirurskih-i-stomatoloskih-usluga-za-djecu-sa-poteskocama-u-razvoju/" TargetMode="External"/><Relationship Id="rId2" Type="http://schemas.openxmlformats.org/officeDocument/2006/relationships/hyperlink" Target="https://kcsr.ba/file/kcsr4/262" TargetMode="External"/><Relationship Id="rId29" Type="http://schemas.openxmlformats.org/officeDocument/2006/relationships/hyperlink" Target="https://mz.ks.gov.ba/node/7923" TargetMode="External"/><Relationship Id="rId24" Type="http://schemas.openxmlformats.org/officeDocument/2006/relationships/hyperlink" Target="mailto:mirsada@kcsr.ba" TargetMode="External"/><Relationship Id="rId40" Type="http://schemas.openxmlformats.org/officeDocument/2006/relationships/hyperlink" Target="https://www.centar.ba/gradjani/put-do-prava/socijalna-zastita/socijalna-zastita/kupovina-lijekova-penzionerima-i-licima-preko-60-godina-starosti-bez-primanja" TargetMode="External"/><Relationship Id="rId45" Type="http://schemas.openxmlformats.org/officeDocument/2006/relationships/hyperlink" Target="https://www.gcs.ba/" TargetMode="External"/><Relationship Id="rId66" Type="http://schemas.openxmlformats.org/officeDocument/2006/relationships/hyperlink" Target="mailto:info@kzzosa.ba" TargetMode="External"/><Relationship Id="rId8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61" Type="http://schemas.openxmlformats.org/officeDocument/2006/relationships/hyperlink" Target="https://www.novigradsarajevo.ba/" TargetMode="External"/><Relationship Id="rId82" Type="http://schemas.openxmlformats.org/officeDocument/2006/relationships/hyperlink" Target="mailto:mo@mo.ks.gov.ba" TargetMode="External"/><Relationship Id="rId19" Type="http://schemas.openxmlformats.org/officeDocument/2006/relationships/hyperlink" Target="https://kcsr.ba/file/kcsr21/274" TargetMode="External"/><Relationship Id="rId14" Type="http://schemas.openxmlformats.org/officeDocument/2006/relationships/hyperlink" Target="https://kcsr.ba/" TargetMode="External"/><Relationship Id="rId30" Type="http://schemas.openxmlformats.org/officeDocument/2006/relationships/hyperlink" Target="mailto:jasminka.ramic@mz.ks.gov.ba" TargetMode="External"/><Relationship Id="rId35" Type="http://schemas.openxmlformats.org/officeDocument/2006/relationships/hyperlink" Target="https://www.centar.ba/gradjani/put-do-prava/porodica/treca-zivotna-dob" TargetMode="External"/><Relationship Id="rId56" Type="http://schemas.openxmlformats.org/officeDocument/2006/relationships/hyperlink" Target="mailto:socijalna.pitanja@novosarajevo.ba" TargetMode="External"/><Relationship Id="rId77" Type="http://schemas.openxmlformats.org/officeDocument/2006/relationships/hyperlink" Target="https://mup.ks.gov.ba/sites/mup.ks.gov.ba/files/2023-01/obrasci_znak_pristupacnosti.pdf" TargetMode="External"/><Relationship Id="rId100" Type="http://schemas.microsoft.com/office/2017/10/relationships/threadedComment" Target="../threadedComments/threadedComment3.xml"/><Relationship Id="rId8" Type="http://schemas.openxmlformats.org/officeDocument/2006/relationships/hyperlink" Target="https://kcsr.ba/file/kcsr7/264" TargetMode="External"/><Relationship Id="rId51" Type="http://schemas.openxmlformats.org/officeDocument/2006/relationships/hyperlink" Target="https://www.centar.ba/gradjani/put-do-prava/porodica/treca-zivotna-dob" TargetMode="External"/><Relationship Id="rId72" Type="http://schemas.openxmlformats.org/officeDocument/2006/relationships/hyperlink" Target="mailto:info@kzzosa.ba" TargetMode="External"/><Relationship Id="rId93" Type="http://schemas.openxmlformats.org/officeDocument/2006/relationships/hyperlink" Target="https://sf.unsa.ba/pruzanje-oralno-hirurskih-i-stomatoloskih-usluga-za-djecu-sa-poteskocama-u-razvoju/" TargetMode="External"/><Relationship Id="rId98"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0B4F-D645-43E9-AE82-B6A9F06932BD}">
  <sheetPr codeName="Sheet5"/>
  <dimension ref="A1:O23"/>
  <sheetViews>
    <sheetView workbookViewId="0">
      <selection activeCell="O2" sqref="O2"/>
    </sheetView>
  </sheetViews>
  <sheetFormatPr defaultColWidth="8.88671875" defaultRowHeight="14.4"/>
  <cols>
    <col min="1" max="3" width="8.109375" customWidth="1"/>
  </cols>
  <sheetData>
    <row r="1" spans="1:15" ht="17.399999999999999" customHeight="1">
      <c r="A1" s="13" t="str" cm="1">
        <f t="array" ref="A1">_xlfn._xlws.FILTER('Administrativni postupci'!$B$2:$B$95,ISNUMBER(SEARCH("Novorođenče",'Administrativni postupci'!$D$2:$D$95)), "0")</f>
        <v>0</v>
      </c>
      <c r="B1" s="14" t="str" cm="1">
        <f t="array" ref="B1">_xlfn._xlws.FILTER('Diskrecione usluge'!$A$2:$A$94,ISNUMBER(SEARCH("Novorođenče",'Diskrecione usluge'!$D$2:$D$94)), "0")</f>
        <v>0</v>
      </c>
      <c r="C1" s="13" t="str" cm="1">
        <f t="array" ref="C1">_xlfn._xlws.FILTER('Neinstitucionalizirana prava'!$A$2:$A$97,ISNUMBER(SEARCH("Novorođenče",'Neinstitucionalizirana prava'!$C$2:$C$97)), "0")</f>
        <v>0</v>
      </c>
      <c r="D1" t="str" cm="1">
        <f t="array" ref="D1:D15">_xlfn._xlws.FILTER('Administrativni postupci'!$B$2:$B$95,ISNUMBER(SEARCH("Predškolska dob",'Administrativni postupci'!$D$2:$D$95)),"0")</f>
        <v>Jednokratna novčana pomoć licima i domaćinstvima sa područja općine Novo Sarajevo</v>
      </c>
      <c r="E1" t="str" cm="1">
        <f t="array" ref="E1:E15">_xlfn._xlws.FILTER('Diskrecione usluge'!$A$2:$A$94,ISNUMBER(SEARCH("Predškolska dob",'Diskrecione usluge'!$D$2:$D$94)),"0")</f>
        <v>Ambulanta "Sve na jednom mjestu" za djecu i osobe s poteškoćama u razvoju</v>
      </c>
      <c r="F1" t="str" cm="1">
        <f t="array" ref="F1:F3">_xlfn._xlws.FILTER('Neinstitucionalizirana prava'!$A$2:$A$97,ISNUMBER(SEARCH("Predškolska dob",'Neinstitucionalizirana prava'!$C$2:$C$97)),"0")</f>
        <v>Pravo na penziju korsnika ili roditelja/staratelja</v>
      </c>
      <c r="G1" s="13" t="str" cm="1">
        <f t="array" ref="G1:G16">_xlfn._xlws.FILTER('Administrativni postupci'!$B$2:$B$95,ISNUMBER(SEARCH("Školska dob",'Administrativni postupci'!$D$2:$D$95)),"0")</f>
        <v>Jednokratna novčana pomoć licima i domaćinstvima sa područja općine Novo Sarajevo</v>
      </c>
      <c r="H1" s="13" t="str" cm="1">
        <f t="array" ref="H1:H18">_xlfn._xlws.FILTER('Diskrecione usluge'!$A$2:$A$94,ISNUMBER(SEARCH("Školska dob",'Diskrecione usluge'!$D$2:$D$94)),"0")</f>
        <v>Ambulanta "Sve na jednom mjestu" za djecu i osobe s poteškoćama u razvoju</v>
      </c>
      <c r="I1" s="13" t="str" cm="1">
        <f t="array" ref="I1:I6">_xlfn._xlws.FILTER('Neinstitucionalizirana prava'!$A$2:$A$97,ISNUMBER(SEARCH("Školska dob",'Neinstitucionalizirana prava'!$C$2:$C$97)),"0")</f>
        <v>Pravo na dnevni boravak u posebnim ustanovama ili smještaj u domovima tokom obrazovanja. Potpuno pokriće troškova dnevnog boravka od strane Centra</v>
      </c>
      <c r="J1" t="str" cm="1">
        <f t="array" ref="J1:J17">_xlfn._xlws.FILTER('Administrativni postupci'!$B$2:$B$95,ISNUMBER(SEARCH("Radni vijek",'Administrativni postupci'!$D$2:$D$95)),"0")</f>
        <v xml:space="preserve">Izdavanje međunarodnog znaka pristupačnosti </v>
      </c>
      <c r="K1" t="str" cm="1">
        <f t="array" ref="K1:K13">_xlfn._xlws.FILTER('Diskrecione usluge'!$A$2:$A$94,ISNUMBER(SEARCH("Radni vijek",'Diskrecione usluge'!$D$2:$D$94)),"0")</f>
        <v>Ambulanta "Sve na jednom mjestu" za djecu i osobe s poteškoćama u razvoju</v>
      </c>
      <c r="L1" t="str" cm="1">
        <f t="array" ref="L1:L6">_xlfn._xlws.FILTER('Neinstitucionalizirana prava'!$A$2:$A$97,ISNUMBER(SEARCH("Radni vijek",'Neinstitucionalizirana prava'!$C$2:$C$97)),"0")</f>
        <v>Pravo na kućnu njegu</v>
      </c>
      <c r="M1" s="13" t="str" cm="1">
        <f t="array" ref="M1:M23">_xlfn._xlws.FILTER('Administrativni postupci'!$B$2:$B$95,ISNUMBER(SEARCH("Treća životna dob",'Administrativni postupci'!$D$2:$D$95)),"0")</f>
        <v>Usluga dnevnog ili poludnevnog boravka u Centar za dnevni boravak – Gerontološki centar</v>
      </c>
      <c r="N1" s="13" t="str" cm="1">
        <f t="array" ref="N1:N13">_xlfn._xlws.FILTER('Diskrecione usluge'!$A$2:$A$94,ISNUMBER(SEARCH("Treća životna dob",'Diskrecione usluge'!$D$2:$D$94)),"0")</f>
        <v>Ambulanta "Sve na jednom mjestu" za djecu i osobe s poteškoćama u razvoju</v>
      </c>
      <c r="O1" s="13" t="str" cm="1">
        <f t="array" ref="O1">_xlfn._xlws.FILTER('Neinstitucionalizirana prava'!$A$2:$A$97,ISNUMBER(SEARCH("Treća životna dob",'Neinstitucionalizirana prava'!$C$2:$C$97)),"0")</f>
        <v>Pravo na kućnu njegu</v>
      </c>
    </row>
    <row r="2" spans="1:15">
      <c r="A2" s="13"/>
      <c r="B2" s="13"/>
      <c r="C2" s="13"/>
      <c r="D2" t="str">
        <v>Posebni programi za osobe oboljele od teških i rijetkih bolesti (npr. enteralna prehrana za djecu i odrasle, bezglutensko brašno za osobe oboljele od celijakije)</v>
      </c>
      <c r="E2" t="str">
        <v>Usluge centara za prevenciju i rehabilitaciju, defektologa, logopeda</v>
      </c>
      <c r="F2" t="str">
        <v>Pravo roditelja/staratelja njegovatelja na osiguranje</v>
      </c>
      <c r="G2" s="13" t="str">
        <v>Posebni programi za osobe oboljele od teških i rijetkih bolesti (npr. enteralna prehrana za djecu i odrasle, bezglutensko brašno za osobe oboljele od celijakije)</v>
      </c>
      <c r="H2" s="13" t="str">
        <v>Asistent u nastavi</v>
      </c>
      <c r="I2" s="13" t="str">
        <v>Pravo na penziju korsnika ili roditelja/staratelja</v>
      </c>
      <c r="J2" t="str">
        <v>Jednokratna novčana pomoć licima i domaćinstvima sa područja općine Novo Sarajevo</v>
      </c>
      <c r="K2" t="str">
        <v>Jednokratna novčana pomoć za invalidna lica</v>
      </c>
      <c r="L2" t="str">
        <v>Pravo na penziju korsnika ili roditelja/staratelja</v>
      </c>
      <c r="M2" s="13" t="str">
        <v xml:space="preserve">Izdavanje međunarodnog znaka pristupačnosti </v>
      </c>
      <c r="N2" s="13" t="str">
        <v>Jednokratna novčana pomoć za invalidna lica</v>
      </c>
      <c r="O2" s="13"/>
    </row>
    <row r="3" spans="1:15">
      <c r="A3" s="13"/>
      <c r="B3" s="13"/>
      <c r="C3" s="13"/>
      <c r="D3" t="str">
        <v>Medicinska rehabilitacija/banjsko liječenje kao produženo bolničko liječenje</v>
      </c>
      <c r="E3" t="str">
        <v>Jednokratna novčana pomoć za invalidna lica</v>
      </c>
      <c r="F3" t="str">
        <v>Pravo roditelja/staratelja njegovatelja na pokrivanje troškova sahrane/dženaze</v>
      </c>
      <c r="G3" s="13" t="str">
        <v>Medicinska rehabilitacija/banjsko liječenje kao produženo bolničko liječenje</v>
      </c>
      <c r="H3" s="13" t="str">
        <v>Usluge centara za prevenciju i rehabilitaciju, defektologa, logopeda</v>
      </c>
      <c r="I3" s="13" t="str">
        <v>Pravo na produženo obrazovanje</v>
      </c>
      <c r="J3" t="str">
        <v>Posebni programi za osobe oboljele od teških i rijetkih bolesti (npr. enteralna prehrana za djecu i odrasle, bezglutensko brašno za osobe oboljele od celijakije)</v>
      </c>
      <c r="K3" t="str">
        <v xml:space="preserve">Jednokratna novčana pomoć za teško bolesne osobe </v>
      </c>
      <c r="L3" t="str">
        <v>Pravo na skraćeno radno vrijeme, zaštita od prekovremenog rada i rada noću, kao i zaštita od promjene mjesta rada</v>
      </c>
      <c r="M3" s="13" t="str">
        <v>Jednokratna novčana pomoć licima i domaćinstvima sa područja općine Novo Sarajevo</v>
      </c>
      <c r="N3" s="13" t="str">
        <v>Jednokratna novčana pomoć za stanovnike starije od 80 godina</v>
      </c>
      <c r="O3" s="13"/>
    </row>
    <row r="4" spans="1:15">
      <c r="A4" s="13"/>
      <c r="B4" s="13"/>
      <c r="C4" s="13"/>
      <c r="D4" t="str">
        <v>Medicinska sredstva - ortopedska pomagala (npr. invalidska kolica, pelene, GPS narukvice za djecu, perike od prirodne kose za djecu, senzori, inzulinske pumpice)</v>
      </c>
      <c r="E4" t="str">
        <v xml:space="preserve">Jednokratna novčana pomoć za teško bolesne osobe </v>
      </c>
      <c r="G4" s="13" t="str">
        <v>Medicinska sredstva - ortopedska pomagala (npr. invalidska kolica, pelene, GPS narukvice za djecu, perike od prirodne kose za djecu, senzori, inzulinske pumpice)</v>
      </c>
      <c r="H4" s="13" t="str">
        <v>Jednokratna novčana pomoć za invalidna lica</v>
      </c>
      <c r="I4" s="13" t="str">
        <v xml:space="preserve">Pravo na srednje obrazovanje u redovnim ili specijalnim školama </v>
      </c>
      <c r="J4" t="str">
        <v>Medicinska rehabilitacija/banjsko liječenje kao produženo bolničko liječenje</v>
      </c>
      <c r="K4" t="str">
        <v>Oslobađanje od plaćanja RTV takse za osobe koje su izgubile sluh i vid</v>
      </c>
      <c r="L4" t="str">
        <v>Pravo na zapošljavanje: povlaštena prava pri zapošljavanju u javnom sektoru</v>
      </c>
      <c r="M4" s="13" t="str">
        <v>Usluga kućne njege i pomoći u kući od strane osoblja Gerontološkog centra</v>
      </c>
      <c r="N4" s="13" t="str">
        <v xml:space="preserve">Jednokratna novčana pomoć za teško bolesne osobe </v>
      </c>
      <c r="O4" s="13"/>
    </row>
    <row r="5" spans="1:15">
      <c r="A5" s="13"/>
      <c r="B5" s="13"/>
      <c r="C5" s="13"/>
      <c r="D5" t="str">
        <v>Novčana pomoć i upućivanje na dijagnostiku i liječenje djece</v>
      </c>
      <c r="E5" t="str">
        <v>Oslobađanje od plaćanja RTV takse za osobe koje su izgubile sluh i vid</v>
      </c>
      <c r="G5" s="13" t="str">
        <v>Novčana pomoć i upućivanje na dijagnostiku i liječenje djece</v>
      </c>
      <c r="H5" s="13" t="str">
        <v xml:space="preserve">Jednokratna novčana pomoć za teško bolesne osobe </v>
      </c>
      <c r="I5" s="13" t="str">
        <v>Pravo roditelja/staratelja njegovatelja na osiguranje</v>
      </c>
      <c r="J5" t="str">
        <v>Medicinska sredstva - ortopedska pomagala (npr. invalidska kolica, pelene, GPS narukvice za djecu, perike od prirodne kose za djecu, senzori, inzulinske pumpice)</v>
      </c>
      <c r="K5" t="str">
        <v>Oslobađanje plaćanja  uvoznih dadžbina, carine i PDV-a prilikom uvoza automobila</v>
      </c>
      <c r="L5" t="str">
        <v>Pravo roditelja/staratelja njegovatelja na osiguranje</v>
      </c>
      <c r="M5" s="13" t="str">
        <v>Kupovina lijekova penzionerima i licima preko 60 godina starosti bez primanja</v>
      </c>
      <c r="N5" s="13" t="str">
        <v>Oslobađanje od plaćanja RTV takse za osobe koje su izgubile sluh i vid</v>
      </c>
      <c r="O5" s="13"/>
    </row>
    <row r="6" spans="1:15">
      <c r="A6" s="13"/>
      <c r="B6" s="13"/>
      <c r="C6" s="13"/>
      <c r="D6" t="str">
        <v>Novčana pomoć za nabavku GPS narukvica</v>
      </c>
      <c r="E6" t="str">
        <v>Oslobađanje plaćanja  uvoznih dadžbina, carine i PDV-a prilikom uvoza automobila</v>
      </c>
      <c r="G6" s="13" t="str">
        <v>Novčana pomoć za nabavku GPS narukvica</v>
      </c>
      <c r="H6" s="13" t="str">
        <v>Oslobađanje od plaćanja RTV takse za osobe koje su izgubile sluh i vid</v>
      </c>
      <c r="I6" s="13" t="str">
        <v>Pravo roditelja/staratelja njegovatelja na pokrivanje troškova sahrane/dženaze</v>
      </c>
      <c r="J6" t="str">
        <v>Medicinsko - sanitetski materijal za RVI sa područja Kantona Sarajevo</v>
      </c>
      <c r="K6" t="str">
        <v xml:space="preserve">Osnovni paket fiksne telefonije - socijalni </v>
      </c>
      <c r="L6" t="str">
        <v>Pravo roditelja/staratelja njegovatelja na pokrivanje troškova sahrane/dženaze</v>
      </c>
      <c r="M6" s="13" t="str">
        <v>Posebni programi za osobe oboljele od teških i rijetkih bolesti (npr. enteralna prehrana za djecu i odrasle, bezglutensko brašno za osobe oboljele od celijakije)</v>
      </c>
      <c r="N6" s="13" t="str">
        <v>Oslobađanje plaćanja  uvoznih dadžbina, carine i PDV-a prilikom uvoza automobila</v>
      </c>
      <c r="O6" s="13"/>
    </row>
    <row r="7" spans="1:15">
      <c r="A7" s="13"/>
      <c r="B7" s="13"/>
      <c r="C7" s="13"/>
      <c r="D7" t="str">
        <v>Ocjenjivanje sposobnosti, razvrstavanje djece i omladine ometene u psiho-fizičkom razvoju</v>
      </c>
      <c r="E7" t="str">
        <v xml:space="preserve">Osnovni paket fiksne telefonije - socijalni </v>
      </c>
      <c r="G7" s="13" t="str">
        <v>Ocjenjivanje sposobnosti, razvrstavanje djece i omladine ometene u psiho-fizičkom razvoju</v>
      </c>
      <c r="H7" s="13" t="str">
        <v>Oslobađanje plaćanja  uvoznih dadžbina, carine i PDV-a prilikom uvoza automobila</v>
      </c>
      <c r="I7" s="13"/>
      <c r="J7" t="str">
        <v>Pravo na ličnu invalidninu, dodatak za njegu i pomoć drugog lica i ortopedski dodatak</v>
      </c>
      <c r="K7" t="str">
        <v>Umanjenje poreza na dohodak za zaposlene</v>
      </c>
      <c r="M7" s="13" t="str">
        <v>Medicinska rehabilitacija/banjsko liječenje kao produženo bolničko liječenje</v>
      </c>
      <c r="N7" s="13" t="str">
        <v xml:space="preserve">Osnovni paket fiksne telefonije - socijalni </v>
      </c>
      <c r="O7" s="13"/>
    </row>
    <row r="8" spans="1:15">
      <c r="A8" s="13"/>
      <c r="B8" s="13"/>
      <c r="C8" s="13"/>
      <c r="D8" t="str">
        <v>Pravo na ličnu invalidninu, dodatak za njegu i pomoć drugog lica i ortopedski dodatak</v>
      </c>
      <c r="E8" t="str">
        <v>Umanjenje poreza na dohodak za zaposlene</v>
      </c>
      <c r="G8" s="13" t="str">
        <v>Osposobljavanje za samostalan život i rad kroz srednje obrazovanje</v>
      </c>
      <c r="H8" s="13" t="str">
        <v xml:space="preserve">Osnovni paket fiksne telefonije - socijalni </v>
      </c>
      <c r="I8" s="13"/>
      <c r="J8" t="str">
        <v>Pravo na novčanu naknadu za vrijeme čekanja na zaposlenje</v>
      </c>
      <c r="K8" t="str">
        <v>Posebna ishrana - enteralna prehrana za djecu i odrasle; bezglutensko brašno za oboljele od celijaklije</v>
      </c>
      <c r="M8" s="13" t="str">
        <v>Medicinska sredstva - ortopedska pomagala (npr. invalidska kolica, pelene, GPS narukvice za djecu, perike od prirodne kose za djecu, senzori, inzulinske pumpice)</v>
      </c>
      <c r="N8" s="13" t="str">
        <v>Posebna ishrana - enteralna prehrana za djecu i odrasle; bezglutensko brašno za oboljele od celijaklije</v>
      </c>
      <c r="O8" s="13"/>
    </row>
    <row r="9" spans="1:15">
      <c r="A9" s="13"/>
      <c r="B9" s="13"/>
      <c r="C9" s="13"/>
      <c r="D9" t="str">
        <v>Pravo na stalnu novčanu pomoć</v>
      </c>
      <c r="E9" t="str">
        <v>Posebna ishrana - enteralna prehrana za djecu i odrasle; bezglutensko brašno za oboljele od celijaklije</v>
      </c>
      <c r="G9" s="13" t="str">
        <v>Pravo na ličnu invalidninu, dodatak za njegu i pomoć drugog lica i ortopedski dodatak</v>
      </c>
      <c r="H9" s="13" t="str">
        <v>Umanjenje poreza na dohodak za zaposlene</v>
      </c>
      <c r="I9" s="13"/>
      <c r="J9" t="str">
        <v>Pravo na poslovnu rehabilitaciju</v>
      </c>
      <c r="K9" t="str">
        <v>Povlastice u željezničkom saobraćaju</v>
      </c>
      <c r="M9" s="13" t="str">
        <v>Medicinsko - sanitetski materijal za RVI sa područja Kantona Sarajevo</v>
      </c>
      <c r="N9" s="13" t="str">
        <v>Povlastice u željezničkom saobraćaju</v>
      </c>
      <c r="O9" s="13"/>
    </row>
    <row r="10" spans="1:15">
      <c r="A10" s="13"/>
      <c r="B10" s="13"/>
      <c r="C10" s="13"/>
      <c r="D10" t="str">
        <v xml:space="preserve">Pravo na zdravstvenu zaštitu </v>
      </c>
      <c r="E10" t="str">
        <v>Povlastice u željezničkom saobraćaju</v>
      </c>
      <c r="G10" s="13" t="str">
        <v>Pravo na stalnu novčanu pomoć</v>
      </c>
      <c r="H10" s="13" t="str">
        <v>Posebna ishrana - enteralna prehrana za djecu i odrasle; bezglutensko brašno za oboljele od celijaklije</v>
      </c>
      <c r="I10" s="13"/>
      <c r="J10" t="str">
        <v>Pravo na stalnu novčanu pomoć</v>
      </c>
      <c r="K10" t="str">
        <v xml:space="preserve">Prednost u primanju usluga u zdravstvenom i drugim institucijama </v>
      </c>
      <c r="M10" s="13" t="str">
        <v>Pravo na ličnu invalidninu, dodatak za njegu i pomoć drugog lica i ortopedski dodatak</v>
      </c>
      <c r="N10" s="13" t="str">
        <v xml:space="preserve">Prednost u primanju usluga u zdravstvenom i drugim institucijama </v>
      </c>
      <c r="O10" s="13"/>
    </row>
    <row r="11" spans="1:15">
      <c r="A11" s="13"/>
      <c r="B11" s="13"/>
      <c r="C11" s="13"/>
      <c r="D11" t="str">
        <v>Priznavanje statusa roditelja njegovatelja</v>
      </c>
      <c r="E11" t="str">
        <v>Pružanje oralno-hirurških i stomatoloških usluga za djecu sa poteškoćama u razvoju</v>
      </c>
      <c r="G11" s="13" t="str">
        <v xml:space="preserve">Pravo na zdravstvenu zaštitu </v>
      </c>
      <c r="H11" s="13" t="str">
        <v>Povlastice u željezničkom saobraćaju</v>
      </c>
      <c r="I11" s="13"/>
      <c r="J11" t="str">
        <v xml:space="preserve">Pravo na zdravstvenu zaštitu </v>
      </c>
      <c r="K11" t="str">
        <v>Usluge savjetodavno-terapeutskog rada (individualno, psihološko, grupno, porodično savjetovanje i tretman)</v>
      </c>
      <c r="M11" s="13" t="str">
        <v>Pravo na novčanu naknadu za pomoć i njegu od strane druge osobe (lica iznad 65 godina života)</v>
      </c>
      <c r="N11" s="13" t="str">
        <v>Usluge savjetodavno-terapeutskog rada (individualno, psihološko, grupno, porodično savjetovanje i tretman)</v>
      </c>
      <c r="O11" s="13"/>
    </row>
    <row r="12" spans="1:15">
      <c r="D12" t="str">
        <v>Refundacija troškova lijekova i liječenja</v>
      </c>
      <c r="E12" t="str">
        <v>Subvencija  za djecu istih roditelja - oslobađanje plaćanja vrtića za braću i sestre djeteta sa poteškoćama u razvoju</v>
      </c>
      <c r="G12" t="str">
        <v>Priznavanje statusa roditelja njegovatelja</v>
      </c>
      <c r="H12" t="str">
        <v>Pravo na druge primjerene oblike pomoći djeci u predškolskim ustanovama, redovnim osnovnim i srednjim školama i ustanovama osnovnoškolskog i srednjoškolskog odgoja obrazovanja i rehabilitacije za učenike sa teškoćama (ustanove): 
a.	Program edukacijsko rehabilitacijskih tretmana
b.	Program produženog stručnog postupka
c.	Rehabilitacijski programi</v>
      </c>
      <c r="J12" t="str">
        <v>Priznavanje statusa roditelja njegovatelja</v>
      </c>
      <c r="K12" t="str">
        <v>Usluge psihosocijalne podrške grupama korisnika sa istim ili sličnim problemima ( grupno savjetovanje i tretman)</v>
      </c>
      <c r="M12" t="str">
        <v>Pravo na stalnu novčanu pomoć</v>
      </c>
      <c r="N12" t="str">
        <v>Usluge psihosocijalne podrške grupama korisnika sa istim ili sličnim problemima ( grupno savjetovanje i tretman)</v>
      </c>
    </row>
    <row r="13" spans="1:15">
      <c r="D13" t="str">
        <v>Smještaj u hospis</v>
      </c>
      <c r="E13" t="str">
        <v>Uvećani dječiji doplatak</v>
      </c>
      <c r="G13" t="str">
        <v>Refundacija troškova lijekova i liječenja</v>
      </c>
      <c r="H13" t="str">
        <v>Pravo na individualni prilagođeni program (IPP) – IPP1 IPP2 IPP3</v>
      </c>
      <c r="J13" t="str">
        <v>Refundacija troškova lijekova i liječenja</v>
      </c>
      <c r="K13" t="str">
        <v xml:space="preserve">Pravo na dodjelu jednokratne novčane pomoći putem sufinansiranja troškova nabavke ortopedskih pomagala i prilagođavanja stambenih objekata i motornih vozila individualnim licima </v>
      </c>
      <c r="M13" t="str">
        <v xml:space="preserve">Pravo na zdravstvenu zaštitu </v>
      </c>
      <c r="N13" t="str">
        <v xml:space="preserve">Pravo na dodjelu jednokratne novčane pomoći putem sufinansiranja troškova nabavke ortopedskih pomagala i prilagođavanja stambenih objekata i motornih vozila individualnim licima </v>
      </c>
    </row>
    <row r="14" spans="1:15">
      <c r="D14" t="str">
        <v>Smještaj u ustanovu, njega, rehabilitacija i socijalna zaštita – Dom za djecu bez roditeljskog staranja</v>
      </c>
      <c r="E14" t="str">
        <v xml:space="preserve">Prednost u primanju usluga u zdravstvenom i drugim institucijama </v>
      </c>
      <c r="G14" t="str">
        <v>Smještaj u hospis</v>
      </c>
      <c r="H14" t="str">
        <v>Pružanje oralno-hirurških i stomatoloških usluga za djecu sa poteškoćama u razvoju</v>
      </c>
      <c r="J14" t="str">
        <v>Smještaj u hospis</v>
      </c>
      <c r="M14" t="str">
        <v>Refundacija troškova lijekova i liječenja</v>
      </c>
    </row>
    <row r="15" spans="1:15">
      <c r="D15" t="str">
        <v>Sufinansiranje troškova prijevoza djece sa poteškoćama u kretanju</v>
      </c>
      <c r="E15" t="str">
        <v xml:space="preserve">Pravo na dodjelu jednokratne novčane pomoći putem sufinansiranja troškova nabavke ortopedskih pomagala i prilagođavanja stambenih objekata i motornih vozila individualnim licima </v>
      </c>
      <c r="G15" t="str">
        <v>Smještaj u ustanovu, njega, rehabilitacija i socijalna zaštita – Dom za djecu bez roditeljskog staranja</v>
      </c>
      <c r="H15" t="str">
        <v>Subvencija  za djecu istih roditelja - oslobađanje plaćanja vrtića za braću i sestre djeteta sa poteškoćama u razvoju</v>
      </c>
      <c r="J15" t="str">
        <v>Pravo na invalidsku penziju/mirovinu</v>
      </c>
      <c r="M15" t="str">
        <v>Smještaj u Gerontološki centar – Privatni ugovori potpisani sa fizičkim licima</v>
      </c>
    </row>
    <row r="16" spans="1:15">
      <c r="G16" t="str">
        <v>Sufinansiranje troškova prijevoza djece sa poteškoćama u kretanju</v>
      </c>
      <c r="H16" t="str">
        <v>Uvećani dječiji doplatak</v>
      </c>
      <c r="J16" t="str">
        <v>Pravo na invalidsku penziju/mirovinu za policijske službenike</v>
      </c>
      <c r="M16" t="str">
        <v>Smještaj u hospis</v>
      </c>
    </row>
    <row r="17" spans="8:13">
      <c r="H17" t="str">
        <v xml:space="preserve">Prednost u primanju usluga u zdravstvenom i drugim institucijama </v>
      </c>
      <c r="J17" t="str">
        <v>Naknada za fizičku onesposobljenost kao rezultat rada</v>
      </c>
      <c r="M17" t="str">
        <v>Smještaj u ustanovu, njega, rehabilitacija i socijalna zaštita – Gerontološki centar</v>
      </c>
    </row>
    <row r="18" spans="8:13">
      <c r="H18" t="str">
        <v xml:space="preserve">Pravo na dodjelu jednokratne novčane pomoći putem sufinansiranja troškova nabavke ortopedskih pomagala i prilagođavanja stambenih objekata i motornih vozila individualnim licima </v>
      </c>
      <c r="M18" t="str">
        <v>Stalna novčana pomoć za kupovinu hljeba i mlijeka lica starija od 60 godina bez primanja</v>
      </c>
    </row>
    <row r="19" spans="8:13">
      <c r="M19" t="str">
        <v>Stalna novčana pomoć za kupovinu hljeba i mlijeka penzioneri sa minimalnom penzijom</v>
      </c>
    </row>
    <row r="20" spans="8:13">
      <c r="M20" t="str">
        <v>Zdravstvena zaštita starijih od 65 godina</v>
      </c>
    </row>
    <row r="21" spans="8:13">
      <c r="M21" t="str">
        <v>Pravo na invalidsku penziju/mirovinu</v>
      </c>
    </row>
    <row r="22" spans="8:13">
      <c r="M22" t="str">
        <v>Pravo na invalidsku penziju/mirovinu za policijske službenike</v>
      </c>
    </row>
    <row r="23" spans="8:13">
      <c r="M23" t="str">
        <v>Naknada za fizičku onesposobljenost kao rezultat rada</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6FEA-301B-4E09-9A51-2401DE4ACBBD}">
  <sheetPr codeName="Sheet13"/>
  <dimension ref="A3:B180"/>
  <sheetViews>
    <sheetView zoomScale="40" zoomScaleNormal="40" workbookViewId="0">
      <selection activeCell="B17" sqref="B17"/>
    </sheetView>
  </sheetViews>
  <sheetFormatPr defaultRowHeight="14.4"/>
  <cols>
    <col min="1" max="1" width="35.88671875" customWidth="1"/>
    <col min="2" max="2" width="125.109375" customWidth="1"/>
    <col min="3" max="3" width="255.5546875" bestFit="1" customWidth="1"/>
    <col min="4" max="4" width="11" bestFit="1" customWidth="1"/>
    <col min="5" max="5" width="11.6640625" bestFit="1" customWidth="1"/>
    <col min="6" max="6" width="17.109375" bestFit="1" customWidth="1"/>
    <col min="7" max="7" width="11.6640625" bestFit="1" customWidth="1"/>
    <col min="8" max="8" width="54.6640625" bestFit="1" customWidth="1"/>
    <col min="9" max="9" width="62.5546875" bestFit="1" customWidth="1"/>
    <col min="10" max="10" width="67" bestFit="1" customWidth="1"/>
    <col min="11" max="11" width="38.44140625" bestFit="1" customWidth="1"/>
    <col min="12" max="12" width="65.5546875" bestFit="1" customWidth="1"/>
    <col min="13" max="13" width="38.33203125" bestFit="1" customWidth="1"/>
    <col min="14" max="14" width="60" bestFit="1" customWidth="1"/>
    <col min="15" max="15" width="52" bestFit="1" customWidth="1"/>
    <col min="16" max="16" width="36.88671875" bestFit="1" customWidth="1"/>
    <col min="17" max="17" width="78.44140625" bestFit="1" customWidth="1"/>
    <col min="18" max="18" width="60.109375" bestFit="1" customWidth="1"/>
    <col min="19" max="19" width="71.33203125" bestFit="1" customWidth="1"/>
    <col min="20" max="20" width="19" bestFit="1" customWidth="1"/>
    <col min="21" max="21" width="36.109375" bestFit="1" customWidth="1"/>
    <col min="22" max="22" width="58.44140625" bestFit="1" customWidth="1"/>
    <col min="23" max="23" width="64.109375" bestFit="1" customWidth="1"/>
    <col min="24" max="24" width="15.109375" bestFit="1" customWidth="1"/>
    <col min="25" max="25" width="32" bestFit="1" customWidth="1"/>
    <col min="26" max="26" width="133" bestFit="1" customWidth="1"/>
    <col min="27" max="27" width="255.5546875" bestFit="1" customWidth="1"/>
    <col min="28" max="28" width="55.33203125" bestFit="1" customWidth="1"/>
    <col min="29" max="29" width="19" bestFit="1" customWidth="1"/>
    <col min="30" max="30" width="73.44140625" bestFit="1" customWidth="1"/>
    <col min="31" max="31" width="82.109375" bestFit="1" customWidth="1"/>
    <col min="32" max="32" width="52.33203125" bestFit="1" customWidth="1"/>
    <col min="33" max="33" width="14.44140625" bestFit="1" customWidth="1"/>
    <col min="34" max="34" width="14.88671875" bestFit="1" customWidth="1"/>
    <col min="35" max="35" width="28" bestFit="1" customWidth="1"/>
    <col min="36" max="36" width="28.88671875" bestFit="1" customWidth="1"/>
    <col min="37" max="37" width="100" bestFit="1" customWidth="1"/>
    <col min="38" max="38" width="56.33203125" bestFit="1" customWidth="1"/>
    <col min="39" max="39" width="27.88671875" bestFit="1" customWidth="1"/>
    <col min="40" max="40" width="66.44140625" bestFit="1" customWidth="1"/>
    <col min="41" max="41" width="25.33203125" bestFit="1" customWidth="1"/>
    <col min="42" max="42" width="36.109375" bestFit="1" customWidth="1"/>
    <col min="43" max="43" width="59.5546875" bestFit="1" customWidth="1"/>
    <col min="44" max="44" width="57.33203125" bestFit="1" customWidth="1"/>
    <col min="45" max="45" width="36" bestFit="1" customWidth="1"/>
    <col min="46" max="46" width="72.109375" bestFit="1" customWidth="1"/>
    <col min="47" max="47" width="34.109375" bestFit="1" customWidth="1"/>
    <col min="48" max="48" width="65.44140625" bestFit="1" customWidth="1"/>
    <col min="49" max="49" width="15.44140625" bestFit="1" customWidth="1"/>
    <col min="50" max="50" width="85.6640625" bestFit="1" customWidth="1"/>
    <col min="51" max="51" width="69.5546875" bestFit="1" customWidth="1"/>
    <col min="52" max="52" width="76.109375" bestFit="1" customWidth="1"/>
    <col min="53" max="53" width="75.44140625" bestFit="1" customWidth="1"/>
    <col min="54" max="54" width="98" bestFit="1" customWidth="1"/>
    <col min="55" max="55" width="57.6640625" bestFit="1" customWidth="1"/>
    <col min="56" max="56" width="25.109375" bestFit="1" customWidth="1"/>
    <col min="57" max="57" width="77.6640625" bestFit="1" customWidth="1"/>
    <col min="58" max="58" width="64.5546875" bestFit="1" customWidth="1"/>
    <col min="59" max="59" width="24.88671875" bestFit="1" customWidth="1"/>
    <col min="60" max="60" width="20.88671875" bestFit="1" customWidth="1"/>
    <col min="61" max="61" width="35.109375" bestFit="1" customWidth="1"/>
    <col min="62" max="62" width="10.6640625" bestFit="1" customWidth="1"/>
    <col min="63" max="63" width="24.88671875" bestFit="1" customWidth="1"/>
    <col min="64" max="64" width="20.88671875" bestFit="1" customWidth="1"/>
    <col min="65" max="65" width="19.5546875" bestFit="1" customWidth="1"/>
    <col min="66" max="66" width="67.109375" bestFit="1" customWidth="1"/>
    <col min="67" max="67" width="40.6640625" bestFit="1" customWidth="1"/>
    <col min="68" max="68" width="74.44140625" bestFit="1" customWidth="1"/>
    <col min="69" max="69" width="39" bestFit="1" customWidth="1"/>
    <col min="70" max="70" width="62.5546875" bestFit="1" customWidth="1"/>
    <col min="71" max="71" width="38.44140625" bestFit="1" customWidth="1"/>
    <col min="72" max="72" width="65.5546875" bestFit="1" customWidth="1"/>
    <col min="73" max="73" width="38.33203125" bestFit="1" customWidth="1"/>
    <col min="74" max="74" width="60" bestFit="1" customWidth="1"/>
    <col min="75" max="75" width="60.109375" bestFit="1" customWidth="1"/>
    <col min="76" max="76" width="71.33203125" bestFit="1" customWidth="1"/>
    <col min="77" max="77" width="19" bestFit="1" customWidth="1"/>
    <col min="78" max="78" width="36.109375" bestFit="1" customWidth="1"/>
    <col min="79" max="79" width="64.109375" bestFit="1" customWidth="1"/>
    <col min="80" max="80" width="15.109375" bestFit="1" customWidth="1"/>
    <col min="81" max="81" width="32" bestFit="1" customWidth="1"/>
    <col min="82" max="82" width="19" bestFit="1" customWidth="1"/>
    <col min="83" max="83" width="73.44140625" bestFit="1" customWidth="1"/>
    <col min="84" max="84" width="52.33203125" bestFit="1" customWidth="1"/>
    <col min="85" max="85" width="14.88671875" bestFit="1" customWidth="1"/>
    <col min="86" max="86" width="28" bestFit="1" customWidth="1"/>
    <col min="87" max="87" width="100" bestFit="1" customWidth="1"/>
    <col min="88" max="88" width="27.88671875" bestFit="1" customWidth="1"/>
    <col min="89" max="89" width="66.44140625" bestFit="1" customWidth="1"/>
    <col min="90" max="90" width="25.33203125" bestFit="1" customWidth="1"/>
    <col min="91" max="91" width="36.109375" bestFit="1" customWidth="1"/>
    <col min="92" max="92" width="59.5546875" bestFit="1" customWidth="1"/>
    <col min="93" max="93" width="57.33203125" bestFit="1" customWidth="1"/>
    <col min="94" max="94" width="36" bestFit="1" customWidth="1"/>
    <col min="95" max="95" width="34.109375" bestFit="1" customWidth="1"/>
    <col min="96" max="96" width="15.44140625" bestFit="1" customWidth="1"/>
    <col min="97" max="97" width="14.6640625" bestFit="1" customWidth="1"/>
    <col min="98" max="98" width="67.109375" bestFit="1" customWidth="1"/>
    <col min="99" max="99" width="15.6640625" bestFit="1" customWidth="1"/>
    <col min="100" max="100" width="56.44140625" bestFit="1" customWidth="1"/>
    <col min="101" max="101" width="74.44140625" bestFit="1" customWidth="1"/>
    <col min="102" max="102" width="39" bestFit="1" customWidth="1"/>
    <col min="103" max="103" width="62.5546875" bestFit="1" customWidth="1"/>
    <col min="104" max="104" width="38.44140625" bestFit="1" customWidth="1"/>
    <col min="105" max="105" width="65.5546875" bestFit="1" customWidth="1"/>
    <col min="106" max="106" width="38.33203125" bestFit="1" customWidth="1"/>
    <col min="107" max="107" width="52" bestFit="1" customWidth="1"/>
    <col min="108" max="108" width="36.88671875" bestFit="1" customWidth="1"/>
    <col min="109" max="109" width="78.44140625" bestFit="1" customWidth="1"/>
    <col min="110" max="110" width="71.33203125" bestFit="1" customWidth="1"/>
    <col min="111" max="111" width="19" bestFit="1" customWidth="1"/>
    <col min="112" max="112" width="36.109375" bestFit="1" customWidth="1"/>
    <col min="113" max="113" width="58.44140625" bestFit="1" customWidth="1"/>
    <col min="114" max="114" width="64.109375" bestFit="1" customWidth="1"/>
    <col min="115" max="115" width="15.109375" bestFit="1" customWidth="1"/>
    <col min="116" max="116" width="32" bestFit="1" customWidth="1"/>
    <col min="117" max="117" width="133" bestFit="1" customWidth="1"/>
    <col min="118" max="118" width="255.5546875" bestFit="1" customWidth="1"/>
    <col min="119" max="119" width="55.33203125" bestFit="1" customWidth="1"/>
    <col min="120" max="120" width="19" bestFit="1" customWidth="1"/>
    <col min="121" max="121" width="73.44140625" bestFit="1" customWidth="1"/>
    <col min="122" max="122" width="14.88671875" bestFit="1" customWidth="1"/>
    <col min="123" max="123" width="28.88671875" bestFit="1" customWidth="1"/>
    <col min="124" max="124" width="56.33203125" bestFit="1" customWidth="1"/>
    <col min="125" max="125" width="27.88671875" bestFit="1" customWidth="1"/>
    <col min="126" max="126" width="25.33203125" bestFit="1" customWidth="1"/>
    <col min="127" max="127" width="36.109375" bestFit="1" customWidth="1"/>
    <col min="128" max="128" width="59.5546875" bestFit="1" customWidth="1"/>
    <col min="129" max="129" width="57.33203125" bestFit="1" customWidth="1"/>
    <col min="130" max="130" width="36" bestFit="1" customWidth="1"/>
    <col min="131" max="131" width="72.109375" bestFit="1" customWidth="1"/>
    <col min="132" max="132" width="34.109375" bestFit="1" customWidth="1"/>
    <col min="133" max="133" width="15.44140625" bestFit="1" customWidth="1"/>
    <col min="134" max="134" width="85.6640625" bestFit="1" customWidth="1"/>
    <col min="135" max="135" width="57.6640625" bestFit="1" customWidth="1"/>
    <col min="136" max="136" width="25.109375" bestFit="1" customWidth="1"/>
    <col min="137" max="137" width="24.88671875" bestFit="1" customWidth="1"/>
    <col min="138" max="138" width="20.88671875" bestFit="1" customWidth="1"/>
    <col min="139" max="139" width="15.5546875" bestFit="1" customWidth="1"/>
    <col min="140" max="140" width="67.109375" bestFit="1" customWidth="1"/>
    <col min="141" max="141" width="40.6640625" bestFit="1" customWidth="1"/>
    <col min="142" max="142" width="74.44140625" bestFit="1" customWidth="1"/>
    <col min="143" max="143" width="39" bestFit="1" customWidth="1"/>
    <col min="144" max="144" width="54.6640625" bestFit="1" customWidth="1"/>
    <col min="145" max="145" width="62.5546875" bestFit="1" customWidth="1"/>
    <col min="146" max="146" width="67" bestFit="1" customWidth="1"/>
    <col min="147" max="147" width="38.44140625" bestFit="1" customWidth="1"/>
    <col min="148" max="148" width="65.5546875" bestFit="1" customWidth="1"/>
    <col min="149" max="149" width="38.33203125" bestFit="1" customWidth="1"/>
    <col min="150" max="150" width="60" bestFit="1" customWidth="1"/>
    <col min="151" max="151" width="60.109375" bestFit="1" customWidth="1"/>
    <col min="152" max="152" width="71.33203125" bestFit="1" customWidth="1"/>
    <col min="153" max="153" width="19" bestFit="1" customWidth="1"/>
    <col min="154" max="154" width="36.109375" bestFit="1" customWidth="1"/>
    <col min="155" max="155" width="64.109375" bestFit="1" customWidth="1"/>
    <col min="156" max="156" width="15.109375" bestFit="1" customWidth="1"/>
    <col min="157" max="157" width="32" bestFit="1" customWidth="1"/>
    <col min="158" max="158" width="19" bestFit="1" customWidth="1"/>
    <col min="159" max="159" width="73.44140625" bestFit="1" customWidth="1"/>
    <col min="160" max="160" width="82.109375" bestFit="1" customWidth="1"/>
    <col min="161" max="161" width="14.88671875" bestFit="1" customWidth="1"/>
    <col min="162" max="162" width="27.88671875" bestFit="1" customWidth="1"/>
    <col min="163" max="163" width="25.33203125" bestFit="1" customWidth="1"/>
    <col min="164" max="164" width="36.109375" bestFit="1" customWidth="1"/>
    <col min="165" max="165" width="59.5546875" bestFit="1" customWidth="1"/>
    <col min="166" max="166" width="57.33203125" bestFit="1" customWidth="1"/>
    <col min="167" max="167" width="36" bestFit="1" customWidth="1"/>
    <col min="168" max="168" width="34.109375" bestFit="1" customWidth="1"/>
    <col min="169" max="169" width="65.44140625" bestFit="1" customWidth="1"/>
    <col min="170" max="170" width="15.44140625" bestFit="1" customWidth="1"/>
    <col min="171" max="171" width="69.5546875" bestFit="1" customWidth="1"/>
    <col min="172" max="172" width="76.109375" bestFit="1" customWidth="1"/>
    <col min="173" max="173" width="75.44140625" bestFit="1" customWidth="1"/>
    <col min="174" max="174" width="77.6640625" bestFit="1" customWidth="1"/>
    <col min="175" max="175" width="64.5546875" bestFit="1" customWidth="1"/>
    <col min="176" max="176" width="35.109375" bestFit="1" customWidth="1"/>
    <col min="177" max="177" width="20.5546875" bestFit="1" customWidth="1"/>
    <col min="178" max="178" width="10.6640625" bestFit="1" customWidth="1"/>
  </cols>
  <sheetData>
    <row r="3" spans="1:2">
      <c r="A3" s="68" t="s">
        <v>0</v>
      </c>
      <c r="B3" s="68" t="s">
        <v>1</v>
      </c>
    </row>
    <row r="4" spans="1:2">
      <c r="A4" t="s">
        <v>2</v>
      </c>
      <c r="B4" t="s">
        <v>3</v>
      </c>
    </row>
    <row r="5" spans="1:2">
      <c r="B5" t="s">
        <v>4</v>
      </c>
    </row>
    <row r="6" spans="1:2">
      <c r="B6" t="s">
        <v>5</v>
      </c>
    </row>
    <row r="7" spans="1:2">
      <c r="B7" t="s">
        <v>6</v>
      </c>
    </row>
    <row r="8" spans="1:2">
      <c r="B8" t="s">
        <v>7</v>
      </c>
    </row>
    <row r="9" spans="1:2">
      <c r="B9" t="s">
        <v>8</v>
      </c>
    </row>
    <row r="10" spans="1:2">
      <c r="B10" t="s">
        <v>9</v>
      </c>
    </row>
    <row r="11" spans="1:2">
      <c r="B11" t="s">
        <v>10</v>
      </c>
    </row>
    <row r="12" spans="1:2">
      <c r="B12" t="s">
        <v>11</v>
      </c>
    </row>
    <row r="13" spans="1:2">
      <c r="B13" t="s">
        <v>12</v>
      </c>
    </row>
    <row r="14" spans="1:2">
      <c r="B14" t="s">
        <v>13</v>
      </c>
    </row>
    <row r="15" spans="1:2">
      <c r="B15" t="s">
        <v>14</v>
      </c>
    </row>
    <row r="16" spans="1:2">
      <c r="B16" t="s">
        <v>15</v>
      </c>
    </row>
    <row r="17" spans="2:2">
      <c r="B17" t="s">
        <v>16</v>
      </c>
    </row>
    <row r="18" spans="2:2">
      <c r="B18" t="s">
        <v>17</v>
      </c>
    </row>
    <row r="19" spans="2:2">
      <c r="B19" t="s">
        <v>18</v>
      </c>
    </row>
    <row r="20" spans="2:2">
      <c r="B20" t="s">
        <v>19</v>
      </c>
    </row>
    <row r="21" spans="2:2">
      <c r="B21" t="s">
        <v>20</v>
      </c>
    </row>
    <row r="22" spans="2:2">
      <c r="B22" t="s">
        <v>21</v>
      </c>
    </row>
    <row r="23" spans="2:2">
      <c r="B23" t="s">
        <v>22</v>
      </c>
    </row>
    <row r="24" spans="2:2">
      <c r="B24" t="s">
        <v>23</v>
      </c>
    </row>
    <row r="25" spans="2:2">
      <c r="B25" t="s">
        <v>24</v>
      </c>
    </row>
    <row r="26" spans="2:2">
      <c r="B26" t="s">
        <v>25</v>
      </c>
    </row>
    <row r="27" spans="2:2">
      <c r="B27" t="s">
        <v>26</v>
      </c>
    </row>
    <row r="28" spans="2:2">
      <c r="B28" t="s">
        <v>27</v>
      </c>
    </row>
    <row r="29" spans="2:2">
      <c r="B29" t="s">
        <v>28</v>
      </c>
    </row>
    <row r="30" spans="2:2">
      <c r="B30" t="s">
        <v>29</v>
      </c>
    </row>
    <row r="31" spans="2:2">
      <c r="B31" t="s">
        <v>30</v>
      </c>
    </row>
    <row r="32" spans="2:2">
      <c r="B32" t="s">
        <v>31</v>
      </c>
    </row>
    <row r="33" spans="1:2">
      <c r="A33" t="s">
        <v>32</v>
      </c>
    </row>
    <row r="34" spans="1:2">
      <c r="A34" t="s">
        <v>33</v>
      </c>
      <c r="B34" t="s">
        <v>3</v>
      </c>
    </row>
    <row r="35" spans="1:2">
      <c r="B35" t="s">
        <v>4</v>
      </c>
    </row>
    <row r="36" spans="1:2">
      <c r="B36" t="s">
        <v>5</v>
      </c>
    </row>
    <row r="37" spans="1:2">
      <c r="B37" t="s">
        <v>6</v>
      </c>
    </row>
    <row r="38" spans="1:2">
      <c r="B38" t="s">
        <v>7</v>
      </c>
    </row>
    <row r="39" spans="1:2">
      <c r="B39" t="s">
        <v>8</v>
      </c>
    </row>
    <row r="40" spans="1:2">
      <c r="B40" t="s">
        <v>9</v>
      </c>
    </row>
    <row r="41" spans="1:2">
      <c r="B41" t="s">
        <v>10</v>
      </c>
    </row>
    <row r="42" spans="1:2">
      <c r="B42" t="s">
        <v>34</v>
      </c>
    </row>
    <row r="43" spans="1:2">
      <c r="B43" t="s">
        <v>35</v>
      </c>
    </row>
    <row r="44" spans="1:2">
      <c r="B44" t="s">
        <v>11</v>
      </c>
    </row>
    <row r="45" spans="1:2">
      <c r="B45" t="s">
        <v>12</v>
      </c>
    </row>
    <row r="46" spans="1:2">
      <c r="B46" t="s">
        <v>13</v>
      </c>
    </row>
    <row r="47" spans="1:2">
      <c r="B47" t="s">
        <v>14</v>
      </c>
    </row>
    <row r="48" spans="1:2">
      <c r="B48" t="s">
        <v>15</v>
      </c>
    </row>
    <row r="49" spans="2:2">
      <c r="B49" t="s">
        <v>16</v>
      </c>
    </row>
    <row r="50" spans="2:2">
      <c r="B50" t="s">
        <v>17</v>
      </c>
    </row>
    <row r="51" spans="2:2">
      <c r="B51" t="s">
        <v>19</v>
      </c>
    </row>
    <row r="52" spans="2:2">
      <c r="B52" t="s">
        <v>20</v>
      </c>
    </row>
    <row r="53" spans="2:2">
      <c r="B53" t="s">
        <v>21</v>
      </c>
    </row>
    <row r="54" spans="2:2">
      <c r="B54" t="s">
        <v>22</v>
      </c>
    </row>
    <row r="55" spans="2:2">
      <c r="B55" t="s">
        <v>23</v>
      </c>
    </row>
    <row r="56" spans="2:2">
      <c r="B56" t="s">
        <v>24</v>
      </c>
    </row>
    <row r="57" spans="2:2">
      <c r="B57" t="s">
        <v>25</v>
      </c>
    </row>
    <row r="58" spans="2:2">
      <c r="B58" t="s">
        <v>36</v>
      </c>
    </row>
    <row r="59" spans="2:2">
      <c r="B59" t="s">
        <v>26</v>
      </c>
    </row>
    <row r="60" spans="2:2">
      <c r="B60" t="s">
        <v>27</v>
      </c>
    </row>
    <row r="61" spans="2:2">
      <c r="B61" t="s">
        <v>28</v>
      </c>
    </row>
    <row r="62" spans="2:2">
      <c r="B62" t="s">
        <v>37</v>
      </c>
    </row>
    <row r="63" spans="2:2">
      <c r="B63" t="s">
        <v>38</v>
      </c>
    </row>
    <row r="64" spans="2:2">
      <c r="B64" t="s">
        <v>29</v>
      </c>
    </row>
    <row r="65" spans="1:2">
      <c r="B65" t="s">
        <v>30</v>
      </c>
    </row>
    <row r="66" spans="1:2">
      <c r="B66" t="s">
        <v>31</v>
      </c>
    </row>
    <row r="67" spans="1:2">
      <c r="A67" t="s">
        <v>39</v>
      </c>
    </row>
    <row r="68" spans="1:2">
      <c r="A68" t="s">
        <v>40</v>
      </c>
      <c r="B68" t="s">
        <v>3</v>
      </c>
    </row>
    <row r="69" spans="1:2">
      <c r="B69" t="s">
        <v>41</v>
      </c>
    </row>
    <row r="70" spans="1:2">
      <c r="B70" t="s">
        <v>5</v>
      </c>
    </row>
    <row r="71" spans="1:2">
      <c r="B71" t="s">
        <v>6</v>
      </c>
    </row>
    <row r="72" spans="1:2">
      <c r="B72" t="s">
        <v>7</v>
      </c>
    </row>
    <row r="73" spans="1:2">
      <c r="B73" t="s">
        <v>8</v>
      </c>
    </row>
    <row r="74" spans="1:2">
      <c r="B74" t="s">
        <v>9</v>
      </c>
    </row>
    <row r="75" spans="1:2">
      <c r="B75" t="s">
        <v>10</v>
      </c>
    </row>
    <row r="76" spans="1:2">
      <c r="B76" t="s">
        <v>42</v>
      </c>
    </row>
    <row r="77" spans="1:2">
      <c r="B77" t="s">
        <v>43</v>
      </c>
    </row>
    <row r="78" spans="1:2">
      <c r="B78" t="s">
        <v>44</v>
      </c>
    </row>
    <row r="79" spans="1:2">
      <c r="B79" t="s">
        <v>12</v>
      </c>
    </row>
    <row r="80" spans="1:2">
      <c r="B80" t="s">
        <v>13</v>
      </c>
    </row>
    <row r="81" spans="2:2">
      <c r="B81" t="s">
        <v>14</v>
      </c>
    </row>
    <row r="82" spans="2:2">
      <c r="B82" t="s">
        <v>15</v>
      </c>
    </row>
    <row r="83" spans="2:2">
      <c r="B83" t="s">
        <v>45</v>
      </c>
    </row>
    <row r="84" spans="2:2">
      <c r="B84" t="s">
        <v>16</v>
      </c>
    </row>
    <row r="85" spans="2:2">
      <c r="B85" t="s">
        <v>17</v>
      </c>
    </row>
    <row r="86" spans="2:2">
      <c r="B86" t="s">
        <v>46</v>
      </c>
    </row>
    <row r="87" spans="2:2">
      <c r="B87" t="s">
        <v>19</v>
      </c>
    </row>
    <row r="88" spans="2:2">
      <c r="B88" t="s">
        <v>47</v>
      </c>
    </row>
    <row r="89" spans="2:2">
      <c r="B89" t="s">
        <v>48</v>
      </c>
    </row>
    <row r="90" spans="2:2">
      <c r="B90" t="s">
        <v>20</v>
      </c>
    </row>
    <row r="91" spans="2:2">
      <c r="B91" t="s">
        <v>49</v>
      </c>
    </row>
    <row r="92" spans="2:2">
      <c r="B92" t="s">
        <v>21</v>
      </c>
    </row>
    <row r="93" spans="2:2">
      <c r="B93" t="s">
        <v>22</v>
      </c>
    </row>
    <row r="94" spans="2:2">
      <c r="B94" t="s">
        <v>23</v>
      </c>
    </row>
    <row r="95" spans="2:2">
      <c r="B95" t="s">
        <v>24</v>
      </c>
    </row>
    <row r="96" spans="2:2">
      <c r="B96" t="s">
        <v>25</v>
      </c>
    </row>
    <row r="97" spans="1:2">
      <c r="B97" t="s">
        <v>26</v>
      </c>
    </row>
    <row r="98" spans="1:2">
      <c r="B98" t="s">
        <v>27</v>
      </c>
    </row>
    <row r="99" spans="1:2">
      <c r="A99" t="s">
        <v>50</v>
      </c>
    </row>
    <row r="100" spans="1:2">
      <c r="A100" t="s">
        <v>51</v>
      </c>
      <c r="B100" t="s">
        <v>3</v>
      </c>
    </row>
    <row r="101" spans="1:2">
      <c r="B101" t="s">
        <v>52</v>
      </c>
    </row>
    <row r="102" spans="1:2">
      <c r="B102" t="s">
        <v>4</v>
      </c>
    </row>
    <row r="103" spans="1:2">
      <c r="B103" t="s">
        <v>5</v>
      </c>
    </row>
    <row r="104" spans="1:2">
      <c r="B104" t="s">
        <v>6</v>
      </c>
    </row>
    <row r="105" spans="1:2">
      <c r="B105" t="s">
        <v>7</v>
      </c>
    </row>
    <row r="106" spans="1:2">
      <c r="B106" t="s">
        <v>8</v>
      </c>
    </row>
    <row r="107" spans="1:2">
      <c r="B107" t="s">
        <v>9</v>
      </c>
    </row>
    <row r="108" spans="1:2">
      <c r="B108" t="s">
        <v>10</v>
      </c>
    </row>
    <row r="109" spans="1:2">
      <c r="B109" t="s">
        <v>34</v>
      </c>
    </row>
    <row r="110" spans="1:2">
      <c r="B110" t="s">
        <v>35</v>
      </c>
    </row>
    <row r="111" spans="1:2">
      <c r="B111" t="s">
        <v>11</v>
      </c>
    </row>
    <row r="112" spans="1:2">
      <c r="B112" t="s">
        <v>44</v>
      </c>
    </row>
    <row r="113" spans="2:2">
      <c r="B113" t="s">
        <v>12</v>
      </c>
    </row>
    <row r="114" spans="2:2">
      <c r="B114" t="s">
        <v>13</v>
      </c>
    </row>
    <row r="115" spans="2:2">
      <c r="B115" t="s">
        <v>53</v>
      </c>
    </row>
    <row r="116" spans="2:2">
      <c r="B116" t="s">
        <v>14</v>
      </c>
    </row>
    <row r="117" spans="2:2">
      <c r="B117" t="s">
        <v>15</v>
      </c>
    </row>
    <row r="118" spans="2:2">
      <c r="B118" t="s">
        <v>45</v>
      </c>
    </row>
    <row r="119" spans="2:2">
      <c r="B119" t="s">
        <v>54</v>
      </c>
    </row>
    <row r="120" spans="2:2">
      <c r="B120" t="s">
        <v>55</v>
      </c>
    </row>
    <row r="121" spans="2:2">
      <c r="B121" t="s">
        <v>56</v>
      </c>
    </row>
    <row r="122" spans="2:2">
      <c r="B122" t="s">
        <v>16</v>
      </c>
    </row>
    <row r="123" spans="2:2">
      <c r="B123" t="s">
        <v>17</v>
      </c>
    </row>
    <row r="124" spans="2:2">
      <c r="B124" t="s">
        <v>19</v>
      </c>
    </row>
    <row r="125" spans="2:2">
      <c r="B125" t="s">
        <v>57</v>
      </c>
    </row>
    <row r="126" spans="2:2">
      <c r="B126" t="s">
        <v>58</v>
      </c>
    </row>
    <row r="127" spans="2:2">
      <c r="B127" t="s">
        <v>20</v>
      </c>
    </row>
    <row r="128" spans="2:2">
      <c r="B128" t="s">
        <v>21</v>
      </c>
    </row>
    <row r="129" spans="1:2">
      <c r="B129" t="s">
        <v>22</v>
      </c>
    </row>
    <row r="130" spans="1:2">
      <c r="B130" t="s">
        <v>23</v>
      </c>
    </row>
    <row r="131" spans="1:2">
      <c r="B131" t="s">
        <v>24</v>
      </c>
    </row>
    <row r="132" spans="1:2">
      <c r="B132" t="s">
        <v>25</v>
      </c>
    </row>
    <row r="133" spans="1:2">
      <c r="B133" t="s">
        <v>36</v>
      </c>
    </row>
    <row r="134" spans="1:2">
      <c r="B134" t="s">
        <v>26</v>
      </c>
    </row>
    <row r="135" spans="1:2">
      <c r="B135" t="s">
        <v>27</v>
      </c>
    </row>
    <row r="136" spans="1:2">
      <c r="B136" t="s">
        <v>28</v>
      </c>
    </row>
    <row r="137" spans="1:2">
      <c r="B137" t="s">
        <v>38</v>
      </c>
    </row>
    <row r="138" spans="1:2">
      <c r="B138" t="s">
        <v>29</v>
      </c>
    </row>
    <row r="139" spans="1:2">
      <c r="B139" t="s">
        <v>30</v>
      </c>
    </row>
    <row r="140" spans="1:2">
      <c r="B140" t="s">
        <v>31</v>
      </c>
    </row>
    <row r="141" spans="1:2">
      <c r="A141" t="s">
        <v>59</v>
      </c>
    </row>
    <row r="142" spans="1:2">
      <c r="A142" t="s">
        <v>60</v>
      </c>
      <c r="B142" t="s">
        <v>3</v>
      </c>
    </row>
    <row r="143" spans="1:2">
      <c r="B143" t="s">
        <v>41</v>
      </c>
    </row>
    <row r="144" spans="1:2">
      <c r="B144" t="s">
        <v>5</v>
      </c>
    </row>
    <row r="145" spans="2:2">
      <c r="B145" t="s">
        <v>6</v>
      </c>
    </row>
    <row r="146" spans="2:2">
      <c r="B146" t="s">
        <v>61</v>
      </c>
    </row>
    <row r="147" spans="2:2">
      <c r="B147" t="s">
        <v>7</v>
      </c>
    </row>
    <row r="148" spans="2:2">
      <c r="B148" t="s">
        <v>62</v>
      </c>
    </row>
    <row r="149" spans="2:2">
      <c r="B149" t="s">
        <v>8</v>
      </c>
    </row>
    <row r="150" spans="2:2">
      <c r="B150" t="s">
        <v>9</v>
      </c>
    </row>
    <row r="151" spans="2:2">
      <c r="B151" t="s">
        <v>10</v>
      </c>
    </row>
    <row r="152" spans="2:2">
      <c r="B152" t="s">
        <v>42</v>
      </c>
    </row>
    <row r="153" spans="2:2">
      <c r="B153" t="s">
        <v>43</v>
      </c>
    </row>
    <row r="154" spans="2:2">
      <c r="B154" t="s">
        <v>44</v>
      </c>
    </row>
    <row r="155" spans="2:2">
      <c r="B155" t="s">
        <v>12</v>
      </c>
    </row>
    <row r="156" spans="2:2">
      <c r="B156" t="s">
        <v>13</v>
      </c>
    </row>
    <row r="157" spans="2:2">
      <c r="B157" t="s">
        <v>14</v>
      </c>
    </row>
    <row r="158" spans="2:2">
      <c r="B158" t="s">
        <v>15</v>
      </c>
    </row>
    <row r="159" spans="2:2">
      <c r="B159" t="s">
        <v>45</v>
      </c>
    </row>
    <row r="160" spans="2:2">
      <c r="B160" t="s">
        <v>16</v>
      </c>
    </row>
    <row r="161" spans="2:2">
      <c r="B161" t="s">
        <v>17</v>
      </c>
    </row>
    <row r="162" spans="2:2">
      <c r="B162" t="s">
        <v>63</v>
      </c>
    </row>
    <row r="163" spans="2:2">
      <c r="B163" t="s">
        <v>19</v>
      </c>
    </row>
    <row r="164" spans="2:2">
      <c r="B164" t="s">
        <v>20</v>
      </c>
    </row>
    <row r="165" spans="2:2">
      <c r="B165" t="s">
        <v>21</v>
      </c>
    </row>
    <row r="166" spans="2:2">
      <c r="B166" t="s">
        <v>22</v>
      </c>
    </row>
    <row r="167" spans="2:2">
      <c r="B167" t="s">
        <v>23</v>
      </c>
    </row>
    <row r="168" spans="2:2">
      <c r="B168" t="s">
        <v>24</v>
      </c>
    </row>
    <row r="169" spans="2:2">
      <c r="B169" t="s">
        <v>25</v>
      </c>
    </row>
    <row r="170" spans="2:2">
      <c r="B170" t="s">
        <v>26</v>
      </c>
    </row>
    <row r="171" spans="2:2">
      <c r="B171" t="s">
        <v>64</v>
      </c>
    </row>
    <row r="172" spans="2:2">
      <c r="B172" t="s">
        <v>27</v>
      </c>
    </row>
    <row r="173" spans="2:2">
      <c r="B173" t="s">
        <v>65</v>
      </c>
    </row>
    <row r="174" spans="2:2">
      <c r="B174" t="s">
        <v>66</v>
      </c>
    </row>
    <row r="175" spans="2:2">
      <c r="B175" t="s">
        <v>67</v>
      </c>
    </row>
    <row r="176" spans="2:2">
      <c r="B176" t="s">
        <v>68</v>
      </c>
    </row>
    <row r="177" spans="1:2">
      <c r="B177" t="s">
        <v>69</v>
      </c>
    </row>
    <row r="178" spans="1:2">
      <c r="B178" t="s">
        <v>70</v>
      </c>
    </row>
    <row r="179" spans="1:2">
      <c r="A179" t="s">
        <v>71</v>
      </c>
    </row>
    <row r="180" spans="1:2">
      <c r="A180" t="s">
        <v>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6928-6E3E-496E-8EA2-7BC45FDC620E}">
  <sheetPr codeName="Sheet14"/>
  <dimension ref="A1:Q175"/>
  <sheetViews>
    <sheetView zoomScale="115" zoomScaleNormal="115" workbookViewId="0">
      <pane ySplit="1" topLeftCell="A2" activePane="bottomLeft" state="frozen"/>
      <selection pane="bottomLeft" sqref="A1:XFD1048576"/>
    </sheetView>
  </sheetViews>
  <sheetFormatPr defaultColWidth="8.6640625" defaultRowHeight="10.199999999999999"/>
  <cols>
    <col min="1" max="1" width="8.88671875" style="63" bestFit="1" customWidth="1"/>
    <col min="2" max="2" width="33.6640625" style="60" bestFit="1" customWidth="1"/>
    <col min="3" max="3" width="48.6640625" style="60" customWidth="1"/>
    <col min="4" max="4" width="14.6640625" style="60" customWidth="1"/>
    <col min="5" max="5" width="18.88671875" style="60" customWidth="1"/>
    <col min="6" max="6" width="20.109375" style="60" customWidth="1"/>
    <col min="7" max="7" width="14.6640625" style="60" customWidth="1"/>
    <col min="8" max="8" width="23.5546875" style="60" customWidth="1"/>
    <col min="9" max="9" width="15.109375" style="60" customWidth="1"/>
    <col min="10" max="10" width="19.6640625" style="60" customWidth="1"/>
    <col min="11" max="11" width="60.44140625" style="60" customWidth="1"/>
    <col min="12" max="12" width="23.44140625" style="60" customWidth="1"/>
    <col min="13" max="13" width="41.33203125" style="60" customWidth="1"/>
    <col min="14" max="14" width="24.44140625" style="60" customWidth="1"/>
    <col min="15" max="15" width="26.33203125" style="60" customWidth="1"/>
    <col min="16" max="16" width="24.33203125" style="60" bestFit="1" customWidth="1"/>
    <col min="17" max="16384" width="8.6640625" style="60"/>
  </cols>
  <sheetData>
    <row r="1" spans="1:17" s="36" customFormat="1" ht="33.6" customHeight="1">
      <c r="A1" s="69" t="s">
        <v>73</v>
      </c>
      <c r="B1" s="69" t="s">
        <v>1</v>
      </c>
      <c r="C1" s="70" t="s">
        <v>74</v>
      </c>
      <c r="D1" s="70" t="s">
        <v>0</v>
      </c>
      <c r="E1" s="71" t="s">
        <v>75</v>
      </c>
      <c r="F1" s="70" t="s">
        <v>76</v>
      </c>
      <c r="G1" s="70" t="s">
        <v>77</v>
      </c>
      <c r="H1" s="70" t="s">
        <v>78</v>
      </c>
      <c r="I1" s="70" t="s">
        <v>79</v>
      </c>
      <c r="J1" s="70" t="s">
        <v>80</v>
      </c>
      <c r="K1" s="70" t="s">
        <v>81</v>
      </c>
      <c r="L1" s="70" t="s">
        <v>82</v>
      </c>
      <c r="M1" s="70" t="s">
        <v>83</v>
      </c>
      <c r="N1" s="70" t="s">
        <v>84</v>
      </c>
      <c r="O1" s="70" t="s">
        <v>85</v>
      </c>
      <c r="P1" s="34" t="s">
        <v>86</v>
      </c>
      <c r="Q1" s="35"/>
    </row>
    <row r="2" spans="1:17" s="40" customFormat="1" ht="77.099999999999994" customHeight="1">
      <c r="A2" s="17">
        <v>22</v>
      </c>
      <c r="B2" s="19" t="s">
        <v>26</v>
      </c>
      <c r="C2" s="24" t="s">
        <v>87</v>
      </c>
      <c r="D2" s="17" t="s">
        <v>2</v>
      </c>
      <c r="E2" s="24" t="s">
        <v>88</v>
      </c>
      <c r="F2" s="24" t="s">
        <v>89</v>
      </c>
      <c r="G2" s="24" t="s">
        <v>90</v>
      </c>
      <c r="H2" s="72" t="s">
        <v>91</v>
      </c>
      <c r="I2" s="62">
        <v>38733725207</v>
      </c>
      <c r="J2" s="72" t="s">
        <v>92</v>
      </c>
      <c r="K2" s="24" t="s">
        <v>93</v>
      </c>
      <c r="L2" s="24" t="s">
        <v>94</v>
      </c>
      <c r="M2" s="24" t="s">
        <v>95</v>
      </c>
      <c r="N2" s="24" t="s">
        <v>95</v>
      </c>
      <c r="O2" s="24" t="s">
        <v>95</v>
      </c>
      <c r="P2" s="38" t="s">
        <v>96</v>
      </c>
      <c r="Q2" s="39"/>
    </row>
    <row r="3" spans="1:17" s="40" customFormat="1" ht="77.099999999999994" customHeight="1">
      <c r="A3" s="17">
        <v>46</v>
      </c>
      <c r="B3" s="19" t="s">
        <v>18</v>
      </c>
      <c r="C3" s="19"/>
      <c r="D3" s="17" t="s">
        <v>2</v>
      </c>
      <c r="E3" s="19" t="s">
        <v>88</v>
      </c>
      <c r="F3" s="19" t="s">
        <v>97</v>
      </c>
      <c r="G3" s="19"/>
      <c r="H3" s="73"/>
      <c r="I3" s="19"/>
      <c r="J3" s="73"/>
      <c r="K3" s="19"/>
      <c r="L3" s="19"/>
      <c r="M3" s="73"/>
      <c r="N3" s="73"/>
      <c r="O3" s="58"/>
      <c r="P3" s="58" t="s">
        <v>98</v>
      </c>
      <c r="Q3" s="39"/>
    </row>
    <row r="4" spans="1:17" s="40" customFormat="1" ht="77.099999999999994" customHeight="1">
      <c r="A4" s="17">
        <v>2</v>
      </c>
      <c r="B4" s="19" t="s">
        <v>4</v>
      </c>
      <c r="C4" s="19" t="s">
        <v>99</v>
      </c>
      <c r="D4" s="17" t="s">
        <v>2</v>
      </c>
      <c r="E4" s="19" t="s">
        <v>100</v>
      </c>
      <c r="F4" s="19" t="s">
        <v>101</v>
      </c>
      <c r="G4" s="19" t="s">
        <v>102</v>
      </c>
      <c r="H4" s="73" t="s">
        <v>103</v>
      </c>
      <c r="I4" s="17" t="s">
        <v>104</v>
      </c>
      <c r="J4" s="74" t="s">
        <v>105</v>
      </c>
      <c r="K4" s="19" t="s">
        <v>106</v>
      </c>
      <c r="L4" s="19" t="s">
        <v>107</v>
      </c>
      <c r="M4" s="19" t="s">
        <v>108</v>
      </c>
      <c r="N4" s="19"/>
      <c r="O4" s="19"/>
      <c r="P4" s="38" t="s">
        <v>96</v>
      </c>
      <c r="Q4" s="39"/>
    </row>
    <row r="5" spans="1:17" s="40" customFormat="1" ht="77.099999999999994" customHeight="1">
      <c r="A5" s="17">
        <v>13</v>
      </c>
      <c r="B5" s="17" t="s">
        <v>11</v>
      </c>
      <c r="C5" s="17" t="s">
        <v>109</v>
      </c>
      <c r="D5" s="17" t="s">
        <v>2</v>
      </c>
      <c r="E5" s="17" t="s">
        <v>110</v>
      </c>
      <c r="F5" s="17" t="s">
        <v>111</v>
      </c>
      <c r="G5" s="17" t="s">
        <v>112</v>
      </c>
      <c r="H5" s="75" t="s">
        <v>113</v>
      </c>
      <c r="I5" s="17">
        <v>38733723640</v>
      </c>
      <c r="J5" s="75" t="s">
        <v>114</v>
      </c>
      <c r="K5" s="17" t="s">
        <v>115</v>
      </c>
      <c r="L5" s="17"/>
      <c r="M5" s="75" t="s">
        <v>116</v>
      </c>
      <c r="N5" s="75" t="s">
        <v>116</v>
      </c>
      <c r="O5" s="17"/>
      <c r="P5" s="38" t="s">
        <v>96</v>
      </c>
      <c r="Q5" s="39"/>
    </row>
    <row r="6" spans="1:17" s="40" customFormat="1" ht="77.099999999999994" customHeight="1">
      <c r="A6" s="17">
        <v>25</v>
      </c>
      <c r="B6" s="19" t="s">
        <v>28</v>
      </c>
      <c r="C6" s="19" t="s">
        <v>117</v>
      </c>
      <c r="D6" s="17" t="s">
        <v>2</v>
      </c>
      <c r="E6" s="19" t="s">
        <v>110</v>
      </c>
      <c r="F6" s="19" t="s">
        <v>118</v>
      </c>
      <c r="G6" s="19" t="s">
        <v>119</v>
      </c>
      <c r="H6" s="73" t="s">
        <v>120</v>
      </c>
      <c r="I6" s="19">
        <v>38733209044</v>
      </c>
      <c r="J6" s="19" t="s">
        <v>121</v>
      </c>
      <c r="K6" s="19" t="s">
        <v>122</v>
      </c>
      <c r="L6" s="19"/>
      <c r="M6" s="19" t="s">
        <v>123</v>
      </c>
      <c r="N6" s="19"/>
      <c r="O6" s="19"/>
      <c r="P6" s="38" t="s">
        <v>96</v>
      </c>
      <c r="Q6" s="39"/>
    </row>
    <row r="7" spans="1:17" s="40" customFormat="1" ht="77.400000000000006" customHeight="1">
      <c r="A7" s="17">
        <v>4</v>
      </c>
      <c r="B7" s="22" t="s">
        <v>5</v>
      </c>
      <c r="C7" s="22" t="s">
        <v>124</v>
      </c>
      <c r="D7" s="17" t="s">
        <v>2</v>
      </c>
      <c r="E7" s="22" t="s">
        <v>110</v>
      </c>
      <c r="F7" s="22" t="s">
        <v>125</v>
      </c>
      <c r="G7" s="22" t="s">
        <v>126</v>
      </c>
      <c r="H7" s="75" t="s">
        <v>127</v>
      </c>
      <c r="I7" s="19">
        <v>38733492125</v>
      </c>
      <c r="J7" s="76" t="s">
        <v>128</v>
      </c>
      <c r="K7" s="22" t="s">
        <v>129</v>
      </c>
      <c r="L7" s="22" t="s">
        <v>130</v>
      </c>
      <c r="M7" s="22" t="s">
        <v>131</v>
      </c>
      <c r="N7" s="76" t="s">
        <v>132</v>
      </c>
      <c r="O7" s="22" t="s">
        <v>133</v>
      </c>
      <c r="P7" s="38" t="s">
        <v>96</v>
      </c>
      <c r="Q7" s="39"/>
    </row>
    <row r="8" spans="1:17" s="40" customFormat="1" ht="45" customHeight="1">
      <c r="A8" s="17">
        <v>7</v>
      </c>
      <c r="B8" s="19" t="s">
        <v>8</v>
      </c>
      <c r="C8" s="24" t="s">
        <v>134</v>
      </c>
      <c r="D8" s="17" t="s">
        <v>2</v>
      </c>
      <c r="E8" s="24" t="s">
        <v>88</v>
      </c>
      <c r="F8" s="24" t="s">
        <v>135</v>
      </c>
      <c r="G8" s="24" t="s">
        <v>90</v>
      </c>
      <c r="H8" s="72" t="s">
        <v>91</v>
      </c>
      <c r="I8" s="62">
        <v>38733725207</v>
      </c>
      <c r="J8" s="72" t="s">
        <v>92</v>
      </c>
      <c r="K8" s="24" t="s">
        <v>136</v>
      </c>
      <c r="L8" s="24" t="s">
        <v>137</v>
      </c>
      <c r="M8" s="24" t="s">
        <v>95</v>
      </c>
      <c r="N8" s="24" t="s">
        <v>95</v>
      </c>
      <c r="O8" s="24" t="s">
        <v>95</v>
      </c>
      <c r="P8" s="38" t="s">
        <v>96</v>
      </c>
      <c r="Q8" s="39"/>
    </row>
    <row r="9" spans="1:17" s="40" customFormat="1" ht="45" customHeight="1">
      <c r="A9" s="17">
        <v>8</v>
      </c>
      <c r="B9" s="19" t="s">
        <v>9</v>
      </c>
      <c r="C9" s="24" t="s">
        <v>138</v>
      </c>
      <c r="D9" s="17" t="s">
        <v>2</v>
      </c>
      <c r="E9" s="24" t="s">
        <v>88</v>
      </c>
      <c r="F9" s="24" t="s">
        <v>89</v>
      </c>
      <c r="G9" s="24" t="s">
        <v>90</v>
      </c>
      <c r="H9" s="72" t="s">
        <v>91</v>
      </c>
      <c r="I9" s="62">
        <v>38733725207</v>
      </c>
      <c r="J9" s="72" t="s">
        <v>92</v>
      </c>
      <c r="K9" s="24" t="s">
        <v>139</v>
      </c>
      <c r="L9" s="24" t="s">
        <v>140</v>
      </c>
      <c r="M9" s="24" t="s">
        <v>95</v>
      </c>
      <c r="N9" s="24" t="s">
        <v>95</v>
      </c>
      <c r="O9" s="24" t="s">
        <v>95</v>
      </c>
      <c r="P9" s="38" t="s">
        <v>96</v>
      </c>
      <c r="Q9" s="39"/>
    </row>
    <row r="10" spans="1:17" s="40" customFormat="1" ht="45" customHeight="1">
      <c r="A10" s="17">
        <v>9</v>
      </c>
      <c r="B10" s="19" t="s">
        <v>10</v>
      </c>
      <c r="C10" s="24" t="s">
        <v>141</v>
      </c>
      <c r="D10" s="17" t="s">
        <v>2</v>
      </c>
      <c r="E10" s="24" t="s">
        <v>88</v>
      </c>
      <c r="F10" s="24" t="s">
        <v>89</v>
      </c>
      <c r="G10" s="24" t="s">
        <v>90</v>
      </c>
      <c r="H10" s="72" t="s">
        <v>91</v>
      </c>
      <c r="I10" s="62">
        <v>38733725207</v>
      </c>
      <c r="J10" s="72" t="s">
        <v>92</v>
      </c>
      <c r="K10" s="25" t="s">
        <v>142</v>
      </c>
      <c r="L10" s="24" t="s">
        <v>143</v>
      </c>
      <c r="M10" s="24" t="s">
        <v>95</v>
      </c>
      <c r="N10" s="24" t="s">
        <v>95</v>
      </c>
      <c r="O10" s="24" t="s">
        <v>95</v>
      </c>
      <c r="P10" s="38" t="s">
        <v>96</v>
      </c>
      <c r="Q10" s="39"/>
    </row>
    <row r="11" spans="1:17" s="40" customFormat="1" ht="51" customHeight="1">
      <c r="A11" s="17">
        <v>15</v>
      </c>
      <c r="B11" s="17" t="s">
        <v>17</v>
      </c>
      <c r="C11" s="17" t="s">
        <v>144</v>
      </c>
      <c r="D11" s="17" t="s">
        <v>2</v>
      </c>
      <c r="E11" s="17" t="s">
        <v>110</v>
      </c>
      <c r="F11" s="17" t="s">
        <v>111</v>
      </c>
      <c r="G11" s="17" t="s">
        <v>112</v>
      </c>
      <c r="H11" s="75" t="s">
        <v>113</v>
      </c>
      <c r="I11" s="17">
        <v>38733723635</v>
      </c>
      <c r="J11" s="75" t="s">
        <v>145</v>
      </c>
      <c r="K11" s="17" t="s">
        <v>146</v>
      </c>
      <c r="L11" s="17" t="s">
        <v>147</v>
      </c>
      <c r="M11" s="75" t="s">
        <v>148</v>
      </c>
      <c r="N11" s="75" t="s">
        <v>148</v>
      </c>
      <c r="O11" s="17"/>
      <c r="P11" s="38" t="s">
        <v>96</v>
      </c>
      <c r="Q11" s="39"/>
    </row>
    <row r="12" spans="1:17" s="40" customFormat="1" ht="51" customHeight="1">
      <c r="A12" s="17">
        <v>19</v>
      </c>
      <c r="B12" s="17" t="s">
        <v>20</v>
      </c>
      <c r="C12" s="17" t="s">
        <v>149</v>
      </c>
      <c r="D12" s="17" t="s">
        <v>2</v>
      </c>
      <c r="E12" s="17" t="s">
        <v>110</v>
      </c>
      <c r="F12" s="17" t="s">
        <v>111</v>
      </c>
      <c r="G12" s="17" t="s">
        <v>112</v>
      </c>
      <c r="H12" s="75" t="s">
        <v>113</v>
      </c>
      <c r="I12" s="17">
        <v>38733723635</v>
      </c>
      <c r="J12" s="75" t="s">
        <v>145</v>
      </c>
      <c r="K12" s="17" t="s">
        <v>146</v>
      </c>
      <c r="L12" s="17" t="s">
        <v>150</v>
      </c>
      <c r="M12" s="75" t="s">
        <v>151</v>
      </c>
      <c r="N12" s="75" t="s">
        <v>151</v>
      </c>
      <c r="O12" s="17"/>
      <c r="P12" s="38" t="s">
        <v>96</v>
      </c>
      <c r="Q12" s="39"/>
    </row>
    <row r="13" spans="1:17" s="40" customFormat="1" ht="51" customHeight="1">
      <c r="A13" s="17">
        <v>20</v>
      </c>
      <c r="B13" s="17" t="s">
        <v>21</v>
      </c>
      <c r="C13" s="17" t="s">
        <v>152</v>
      </c>
      <c r="D13" s="17" t="s">
        <v>2</v>
      </c>
      <c r="E13" s="17" t="s">
        <v>110</v>
      </c>
      <c r="F13" s="17" t="s">
        <v>111</v>
      </c>
      <c r="G13" s="17" t="s">
        <v>112</v>
      </c>
      <c r="H13" s="75" t="s">
        <v>113</v>
      </c>
      <c r="I13" s="17">
        <v>38733723635</v>
      </c>
      <c r="J13" s="75" t="s">
        <v>145</v>
      </c>
      <c r="K13" s="17" t="s">
        <v>146</v>
      </c>
      <c r="L13" s="17" t="s">
        <v>153</v>
      </c>
      <c r="M13" s="75" t="s">
        <v>154</v>
      </c>
      <c r="N13" s="75" t="s">
        <v>154</v>
      </c>
      <c r="O13" s="17"/>
      <c r="P13" s="38" t="s">
        <v>96</v>
      </c>
      <c r="Q13" s="39"/>
    </row>
    <row r="14" spans="1:17" s="40" customFormat="1" ht="80.099999999999994" customHeight="1">
      <c r="A14" s="17">
        <v>21</v>
      </c>
      <c r="B14" s="17" t="s">
        <v>25</v>
      </c>
      <c r="C14" s="17" t="s">
        <v>25</v>
      </c>
      <c r="D14" s="17" t="s">
        <v>2</v>
      </c>
      <c r="E14" s="17" t="s">
        <v>110</v>
      </c>
      <c r="F14" s="17" t="s">
        <v>111</v>
      </c>
      <c r="G14" s="17" t="s">
        <v>112</v>
      </c>
      <c r="H14" s="75" t="s">
        <v>113</v>
      </c>
      <c r="I14" s="17">
        <v>38733723635</v>
      </c>
      <c r="J14" s="75" t="s">
        <v>145</v>
      </c>
      <c r="K14" s="17" t="s">
        <v>155</v>
      </c>
      <c r="L14" s="17" t="s">
        <v>156</v>
      </c>
      <c r="M14" s="75" t="s">
        <v>157</v>
      </c>
      <c r="N14" s="75" t="s">
        <v>158</v>
      </c>
      <c r="O14" s="17"/>
      <c r="P14" s="38" t="s">
        <v>96</v>
      </c>
      <c r="Q14" s="39"/>
    </row>
    <row r="15" spans="1:17" s="40" customFormat="1" ht="80.099999999999994" customHeight="1">
      <c r="A15" s="17">
        <v>33</v>
      </c>
      <c r="B15" s="19" t="s">
        <v>30</v>
      </c>
      <c r="C15" s="19" t="s">
        <v>159</v>
      </c>
      <c r="D15" s="17" t="s">
        <v>2</v>
      </c>
      <c r="E15" s="19" t="s">
        <v>88</v>
      </c>
      <c r="F15" s="19"/>
      <c r="G15" s="19"/>
      <c r="H15" s="73"/>
      <c r="I15" s="19"/>
      <c r="J15" s="73"/>
      <c r="K15" s="19" t="s">
        <v>160</v>
      </c>
      <c r="L15" s="19"/>
      <c r="M15" s="73"/>
      <c r="N15" s="73"/>
      <c r="O15" s="58"/>
      <c r="P15" s="58" t="s">
        <v>98</v>
      </c>
      <c r="Q15" s="39"/>
    </row>
    <row r="16" spans="1:17" s="40" customFormat="1" ht="80.099999999999994" customHeight="1">
      <c r="A16" s="17">
        <v>49</v>
      </c>
      <c r="B16" s="19" t="s">
        <v>29</v>
      </c>
      <c r="C16" s="19" t="s">
        <v>161</v>
      </c>
      <c r="D16" s="17" t="s">
        <v>2</v>
      </c>
      <c r="E16" s="19" t="s">
        <v>88</v>
      </c>
      <c r="F16" s="19" t="s">
        <v>97</v>
      </c>
      <c r="G16" s="19"/>
      <c r="H16" s="73"/>
      <c r="I16" s="19"/>
      <c r="J16" s="73"/>
      <c r="K16" s="19" t="s">
        <v>162</v>
      </c>
      <c r="L16" s="19"/>
      <c r="M16" s="73"/>
      <c r="N16" s="73"/>
      <c r="O16" s="58"/>
      <c r="P16" s="58" t="s">
        <v>98</v>
      </c>
      <c r="Q16" s="39"/>
    </row>
    <row r="17" spans="1:17" s="40" customFormat="1" ht="33.6" customHeight="1">
      <c r="A17" s="17">
        <v>50</v>
      </c>
      <c r="B17" s="19" t="s">
        <v>31</v>
      </c>
      <c r="C17" s="19" t="s">
        <v>163</v>
      </c>
      <c r="D17" s="17" t="s">
        <v>2</v>
      </c>
      <c r="E17" s="19" t="s">
        <v>110</v>
      </c>
      <c r="F17" s="19" t="s">
        <v>164</v>
      </c>
      <c r="G17" s="19"/>
      <c r="H17" s="73"/>
      <c r="I17" s="19"/>
      <c r="J17" s="73"/>
      <c r="K17" s="19"/>
      <c r="L17" s="19"/>
      <c r="M17" s="73"/>
      <c r="N17" s="73"/>
      <c r="O17" s="58"/>
      <c r="P17" s="58" t="s">
        <v>98</v>
      </c>
      <c r="Q17" s="39"/>
    </row>
    <row r="18" spans="1:17" s="40" customFormat="1" ht="33.6" customHeight="1">
      <c r="A18" s="17">
        <v>53</v>
      </c>
      <c r="B18" s="19" t="s">
        <v>19</v>
      </c>
      <c r="C18" s="19" t="s">
        <v>165</v>
      </c>
      <c r="D18" s="17" t="s">
        <v>2</v>
      </c>
      <c r="E18" s="19" t="s">
        <v>110</v>
      </c>
      <c r="F18" s="58"/>
      <c r="G18" s="58"/>
      <c r="H18" s="58"/>
      <c r="I18" s="58"/>
      <c r="J18" s="58"/>
      <c r="K18" s="19" t="s">
        <v>166</v>
      </c>
      <c r="L18" s="58"/>
      <c r="M18" s="58"/>
      <c r="N18" s="58"/>
      <c r="O18" s="58"/>
      <c r="P18" s="58" t="s">
        <v>167</v>
      </c>
      <c r="Q18" s="39"/>
    </row>
    <row r="19" spans="1:17" s="40" customFormat="1" ht="33.6" customHeight="1">
      <c r="A19" s="17">
        <v>31</v>
      </c>
      <c r="B19" s="19" t="s">
        <v>3</v>
      </c>
      <c r="C19" s="19" t="s">
        <v>168</v>
      </c>
      <c r="D19" s="17" t="s">
        <v>2</v>
      </c>
      <c r="E19" s="19" t="s">
        <v>88</v>
      </c>
      <c r="F19" s="19" t="s">
        <v>169</v>
      </c>
      <c r="G19" s="19" t="s">
        <v>170</v>
      </c>
      <c r="H19" s="73"/>
      <c r="I19" s="19">
        <v>38733285261</v>
      </c>
      <c r="J19" s="73"/>
      <c r="K19" s="19"/>
      <c r="L19" s="19" t="s">
        <v>171</v>
      </c>
      <c r="M19" s="73"/>
      <c r="N19" s="73"/>
      <c r="O19" s="58"/>
      <c r="P19" s="58" t="s">
        <v>98</v>
      </c>
      <c r="Q19" s="39"/>
    </row>
    <row r="20" spans="1:17" s="40" customFormat="1" ht="33.6" customHeight="1">
      <c r="A20" s="17">
        <v>34</v>
      </c>
      <c r="B20" s="19" t="s">
        <v>6</v>
      </c>
      <c r="C20" s="19" t="s">
        <v>172</v>
      </c>
      <c r="D20" s="17" t="s">
        <v>2</v>
      </c>
      <c r="E20" s="19" t="s">
        <v>110</v>
      </c>
      <c r="F20" s="19" t="s">
        <v>173</v>
      </c>
      <c r="G20" s="19" t="s">
        <v>174</v>
      </c>
      <c r="H20" s="73" t="s">
        <v>175</v>
      </c>
      <c r="I20" s="64">
        <v>387733637384</v>
      </c>
      <c r="J20" s="73" t="s">
        <v>176</v>
      </c>
      <c r="K20" s="19" t="s">
        <v>177</v>
      </c>
      <c r="L20" s="19" t="s">
        <v>178</v>
      </c>
      <c r="M20" s="19" t="s">
        <v>179</v>
      </c>
      <c r="N20" s="77" t="s">
        <v>180</v>
      </c>
      <c r="O20" s="58"/>
      <c r="P20" s="58" t="s">
        <v>98</v>
      </c>
      <c r="Q20" s="39"/>
    </row>
    <row r="21" spans="1:17" s="40" customFormat="1" ht="33.6" customHeight="1">
      <c r="A21" s="17">
        <v>36</v>
      </c>
      <c r="B21" s="19" t="s">
        <v>7</v>
      </c>
      <c r="C21" s="19" t="s">
        <v>181</v>
      </c>
      <c r="D21" s="17" t="s">
        <v>2</v>
      </c>
      <c r="E21" s="19" t="s">
        <v>88</v>
      </c>
      <c r="F21" s="19" t="s">
        <v>173</v>
      </c>
      <c r="G21" s="19" t="s">
        <v>174</v>
      </c>
      <c r="H21" s="77" t="s">
        <v>180</v>
      </c>
      <c r="I21" s="64">
        <v>387733637384</v>
      </c>
      <c r="J21" s="73" t="s">
        <v>176</v>
      </c>
      <c r="K21" s="19" t="s">
        <v>182</v>
      </c>
      <c r="L21" s="77" t="s">
        <v>180</v>
      </c>
      <c r="M21" s="77" t="s">
        <v>180</v>
      </c>
      <c r="N21" s="77" t="s">
        <v>180</v>
      </c>
      <c r="O21" s="58"/>
      <c r="P21" s="58" t="s">
        <v>98</v>
      </c>
      <c r="Q21" s="39"/>
    </row>
    <row r="22" spans="1:17" s="40" customFormat="1" ht="33.6" customHeight="1">
      <c r="A22" s="17">
        <v>39</v>
      </c>
      <c r="B22" s="19" t="s">
        <v>12</v>
      </c>
      <c r="C22" s="19" t="s">
        <v>183</v>
      </c>
      <c r="D22" s="17" t="s">
        <v>2</v>
      </c>
      <c r="E22" s="19" t="s">
        <v>88</v>
      </c>
      <c r="F22" s="19" t="s">
        <v>184</v>
      </c>
      <c r="G22" s="19"/>
      <c r="H22" s="73"/>
      <c r="I22" s="19"/>
      <c r="J22" s="73"/>
      <c r="K22" s="19"/>
      <c r="L22" s="19"/>
      <c r="M22" s="73"/>
      <c r="N22" s="73"/>
      <c r="O22" s="58"/>
      <c r="P22" s="58" t="s">
        <v>98</v>
      </c>
      <c r="Q22" s="39"/>
    </row>
    <row r="23" spans="1:17" s="40" customFormat="1" ht="33.6" customHeight="1">
      <c r="A23" s="17">
        <v>40</v>
      </c>
      <c r="B23" s="19" t="s">
        <v>13</v>
      </c>
      <c r="C23" s="19" t="s">
        <v>185</v>
      </c>
      <c r="D23" s="17" t="s">
        <v>2</v>
      </c>
      <c r="E23" s="19" t="s">
        <v>186</v>
      </c>
      <c r="F23" s="19" t="s">
        <v>187</v>
      </c>
      <c r="G23" s="19" t="s">
        <v>188</v>
      </c>
      <c r="H23" s="73" t="s">
        <v>189</v>
      </c>
      <c r="I23" s="19">
        <v>38733653093</v>
      </c>
      <c r="J23" s="73"/>
      <c r="K23" s="19"/>
      <c r="L23" s="19"/>
      <c r="M23" s="19"/>
      <c r="N23" s="73"/>
      <c r="O23" s="58"/>
      <c r="P23" s="58" t="s">
        <v>98</v>
      </c>
      <c r="Q23" s="39"/>
    </row>
    <row r="24" spans="1:17" s="40" customFormat="1" ht="33.6" customHeight="1">
      <c r="A24" s="17">
        <v>41</v>
      </c>
      <c r="B24" s="19" t="s">
        <v>14</v>
      </c>
      <c r="C24" s="19" t="s">
        <v>190</v>
      </c>
      <c r="D24" s="17" t="s">
        <v>2</v>
      </c>
      <c r="E24" s="19" t="s">
        <v>191</v>
      </c>
      <c r="F24" s="19" t="s">
        <v>192</v>
      </c>
      <c r="G24" s="19"/>
      <c r="H24" s="73"/>
      <c r="I24" s="19"/>
      <c r="J24" s="73"/>
      <c r="K24" s="19" t="s">
        <v>193</v>
      </c>
      <c r="L24" s="19"/>
      <c r="M24" s="19" t="s">
        <v>194</v>
      </c>
      <c r="N24" s="73"/>
      <c r="O24" s="58"/>
      <c r="P24" s="58" t="s">
        <v>98</v>
      </c>
      <c r="Q24" s="39"/>
    </row>
    <row r="25" spans="1:17" s="40" customFormat="1" ht="33.6" customHeight="1">
      <c r="A25" s="17">
        <v>42</v>
      </c>
      <c r="B25" s="19" t="s">
        <v>15</v>
      </c>
      <c r="C25" s="19"/>
      <c r="D25" s="17" t="s">
        <v>2</v>
      </c>
      <c r="E25" s="19" t="s">
        <v>88</v>
      </c>
      <c r="F25" s="19" t="s">
        <v>97</v>
      </c>
      <c r="G25" s="19"/>
      <c r="H25" s="73"/>
      <c r="I25" s="19"/>
      <c r="J25" s="73"/>
      <c r="K25" s="19"/>
      <c r="L25" s="19"/>
      <c r="M25" s="73"/>
      <c r="N25" s="73"/>
      <c r="O25" s="58"/>
      <c r="P25" s="58" t="s">
        <v>98</v>
      </c>
      <c r="Q25" s="39"/>
    </row>
    <row r="26" spans="1:17" s="40" customFormat="1" ht="33.6" customHeight="1">
      <c r="A26" s="17">
        <v>52</v>
      </c>
      <c r="B26" s="19" t="s">
        <v>16</v>
      </c>
      <c r="C26" s="19" t="s">
        <v>195</v>
      </c>
      <c r="D26" s="17" t="s">
        <v>2</v>
      </c>
      <c r="E26" s="19" t="s">
        <v>110</v>
      </c>
      <c r="F26" s="58"/>
      <c r="G26" s="58"/>
      <c r="H26" s="78" t="s">
        <v>196</v>
      </c>
      <c r="I26" s="58"/>
      <c r="J26" s="58"/>
      <c r="K26" s="19" t="s">
        <v>197</v>
      </c>
      <c r="L26" s="58"/>
      <c r="M26" s="58"/>
      <c r="N26" s="58"/>
      <c r="O26" s="58"/>
      <c r="P26" s="58" t="s">
        <v>167</v>
      </c>
      <c r="Q26" s="39"/>
    </row>
    <row r="27" spans="1:17" s="40" customFormat="1" ht="33.6" customHeight="1">
      <c r="A27" s="17">
        <v>58</v>
      </c>
      <c r="B27" s="19" t="s">
        <v>22</v>
      </c>
      <c r="C27" s="19" t="s">
        <v>198</v>
      </c>
      <c r="D27" s="17" t="s">
        <v>2</v>
      </c>
      <c r="E27" s="58" t="s">
        <v>199</v>
      </c>
      <c r="F27" s="58"/>
      <c r="G27" s="58"/>
      <c r="H27" s="19"/>
      <c r="I27" s="58"/>
      <c r="J27" s="58"/>
      <c r="K27" s="19" t="s">
        <v>200</v>
      </c>
      <c r="L27" s="58"/>
      <c r="M27" s="58"/>
      <c r="N27" s="58"/>
      <c r="O27" s="58"/>
      <c r="P27" s="58" t="s">
        <v>167</v>
      </c>
      <c r="Q27" s="39"/>
    </row>
    <row r="28" spans="1:17" s="40" customFormat="1" ht="33.6" customHeight="1">
      <c r="A28" s="17">
        <v>59</v>
      </c>
      <c r="B28" s="20" t="s">
        <v>23</v>
      </c>
      <c r="C28" s="20" t="s">
        <v>201</v>
      </c>
      <c r="D28" s="17" t="s">
        <v>2</v>
      </c>
      <c r="E28" s="58" t="s">
        <v>110</v>
      </c>
      <c r="F28" s="58"/>
      <c r="G28" s="58"/>
      <c r="H28" s="19"/>
      <c r="I28" s="58"/>
      <c r="J28" s="58"/>
      <c r="K28" s="19" t="s">
        <v>202</v>
      </c>
      <c r="L28" s="58"/>
      <c r="M28" s="58"/>
      <c r="N28" s="58"/>
      <c r="O28" s="58"/>
      <c r="P28" s="58" t="s">
        <v>167</v>
      </c>
      <c r="Q28" s="39"/>
    </row>
    <row r="29" spans="1:17" s="40" customFormat="1" ht="33.6" customHeight="1">
      <c r="A29" s="17">
        <v>60</v>
      </c>
      <c r="B29" s="19" t="s">
        <v>24</v>
      </c>
      <c r="C29" s="19"/>
      <c r="D29" s="17" t="s">
        <v>2</v>
      </c>
      <c r="E29" s="58" t="s">
        <v>88</v>
      </c>
      <c r="F29" s="58"/>
      <c r="G29" s="58"/>
      <c r="H29" s="73"/>
      <c r="I29" s="58"/>
      <c r="J29" s="58"/>
      <c r="K29" s="19"/>
      <c r="L29" s="58"/>
      <c r="M29" s="58"/>
      <c r="N29" s="58"/>
      <c r="O29" s="58"/>
      <c r="P29" s="58" t="s">
        <v>167</v>
      </c>
      <c r="Q29" s="39"/>
    </row>
    <row r="30" spans="1:17" s="40" customFormat="1" ht="33.6" customHeight="1">
      <c r="A30" s="17">
        <v>24</v>
      </c>
      <c r="B30" s="19" t="s">
        <v>27</v>
      </c>
      <c r="C30" s="24" t="s">
        <v>203</v>
      </c>
      <c r="D30" s="58" t="s">
        <v>2</v>
      </c>
      <c r="E30" s="24" t="s">
        <v>88</v>
      </c>
      <c r="F30" s="24" t="s">
        <v>204</v>
      </c>
      <c r="G30" s="24" t="s">
        <v>90</v>
      </c>
      <c r="H30" s="24" t="s">
        <v>91</v>
      </c>
      <c r="I30" s="62">
        <v>38733725207</v>
      </c>
      <c r="J30" s="75" t="s">
        <v>92</v>
      </c>
      <c r="K30" s="24" t="s">
        <v>205</v>
      </c>
      <c r="L30" s="24" t="s">
        <v>206</v>
      </c>
      <c r="M30" s="24" t="s">
        <v>95</v>
      </c>
      <c r="N30" s="24" t="s">
        <v>95</v>
      </c>
      <c r="O30" s="24" t="s">
        <v>95</v>
      </c>
      <c r="P30" s="38" t="s">
        <v>96</v>
      </c>
      <c r="Q30" s="39"/>
    </row>
    <row r="31" spans="1:17" s="40" customFormat="1" ht="33.6" customHeight="1">
      <c r="A31" s="17">
        <v>22</v>
      </c>
      <c r="B31" s="19" t="s">
        <v>26</v>
      </c>
      <c r="C31" s="24" t="s">
        <v>87</v>
      </c>
      <c r="D31" s="17" t="s">
        <v>33</v>
      </c>
      <c r="E31" s="24" t="s">
        <v>88</v>
      </c>
      <c r="F31" s="24" t="s">
        <v>89</v>
      </c>
      <c r="G31" s="24" t="s">
        <v>90</v>
      </c>
      <c r="H31" s="72" t="s">
        <v>91</v>
      </c>
      <c r="I31" s="62">
        <v>38733725207</v>
      </c>
      <c r="J31" s="72" t="s">
        <v>92</v>
      </c>
      <c r="K31" s="24" t="s">
        <v>93</v>
      </c>
      <c r="L31" s="24" t="s">
        <v>94</v>
      </c>
      <c r="M31" s="24" t="s">
        <v>95</v>
      </c>
      <c r="N31" s="24" t="s">
        <v>95</v>
      </c>
      <c r="O31" s="24" t="s">
        <v>95</v>
      </c>
      <c r="P31" s="38" t="s">
        <v>96</v>
      </c>
      <c r="Q31" s="39"/>
    </row>
    <row r="32" spans="1:17" s="40" customFormat="1" ht="33.6" customHeight="1">
      <c r="A32" s="17">
        <v>2</v>
      </c>
      <c r="B32" s="19" t="s">
        <v>4</v>
      </c>
      <c r="C32" s="19" t="s">
        <v>99</v>
      </c>
      <c r="D32" s="17" t="s">
        <v>33</v>
      </c>
      <c r="E32" s="19" t="s">
        <v>100</v>
      </c>
      <c r="F32" s="19" t="s">
        <v>101</v>
      </c>
      <c r="G32" s="19" t="s">
        <v>102</v>
      </c>
      <c r="H32" s="73" t="s">
        <v>103</v>
      </c>
      <c r="I32" s="17" t="s">
        <v>104</v>
      </c>
      <c r="J32" s="74" t="s">
        <v>105</v>
      </c>
      <c r="K32" s="19" t="s">
        <v>106</v>
      </c>
      <c r="L32" s="19" t="s">
        <v>207</v>
      </c>
      <c r="M32" s="19" t="s">
        <v>108</v>
      </c>
      <c r="N32" s="19"/>
      <c r="O32" s="19"/>
      <c r="P32" s="38" t="s">
        <v>96</v>
      </c>
      <c r="Q32" s="39"/>
    </row>
    <row r="33" spans="1:17" s="40" customFormat="1" ht="33.6" customHeight="1">
      <c r="A33" s="17">
        <v>13</v>
      </c>
      <c r="B33" s="17" t="s">
        <v>11</v>
      </c>
      <c r="C33" s="17" t="s">
        <v>109</v>
      </c>
      <c r="D33" s="17" t="s">
        <v>33</v>
      </c>
      <c r="E33" s="17" t="s">
        <v>110</v>
      </c>
      <c r="F33" s="17" t="s">
        <v>111</v>
      </c>
      <c r="G33" s="17" t="s">
        <v>112</v>
      </c>
      <c r="H33" s="75" t="s">
        <v>113</v>
      </c>
      <c r="I33" s="17">
        <v>38733723640</v>
      </c>
      <c r="J33" s="75" t="s">
        <v>114</v>
      </c>
      <c r="K33" s="17" t="s">
        <v>115</v>
      </c>
      <c r="L33" s="17"/>
      <c r="M33" s="75" t="s">
        <v>116</v>
      </c>
      <c r="N33" s="75" t="s">
        <v>116</v>
      </c>
      <c r="O33" s="17"/>
      <c r="P33" s="38" t="s">
        <v>96</v>
      </c>
      <c r="Q33" s="39"/>
    </row>
    <row r="34" spans="1:17" s="40" customFormat="1" ht="33.6" customHeight="1">
      <c r="A34" s="17">
        <v>25</v>
      </c>
      <c r="B34" s="19" t="s">
        <v>28</v>
      </c>
      <c r="C34" s="19" t="s">
        <v>117</v>
      </c>
      <c r="D34" s="17" t="s">
        <v>33</v>
      </c>
      <c r="E34" s="19" t="s">
        <v>110</v>
      </c>
      <c r="F34" s="19" t="s">
        <v>118</v>
      </c>
      <c r="G34" s="19" t="s">
        <v>119</v>
      </c>
      <c r="H34" s="73" t="s">
        <v>120</v>
      </c>
      <c r="I34" s="19">
        <v>38733209044</v>
      </c>
      <c r="J34" s="19" t="s">
        <v>121</v>
      </c>
      <c r="K34" s="19" t="s">
        <v>122</v>
      </c>
      <c r="L34" s="19"/>
      <c r="M34" s="19" t="s">
        <v>123</v>
      </c>
      <c r="N34" s="19"/>
      <c r="O34" s="19"/>
      <c r="P34" s="38" t="s">
        <v>96</v>
      </c>
      <c r="Q34" s="39"/>
    </row>
    <row r="35" spans="1:17" s="40" customFormat="1" ht="33.6" customHeight="1">
      <c r="A35" s="17">
        <v>4</v>
      </c>
      <c r="B35" s="22" t="s">
        <v>5</v>
      </c>
      <c r="C35" s="22" t="s">
        <v>124</v>
      </c>
      <c r="D35" s="17" t="s">
        <v>33</v>
      </c>
      <c r="E35" s="22" t="s">
        <v>110</v>
      </c>
      <c r="F35" s="22" t="s">
        <v>125</v>
      </c>
      <c r="G35" s="22" t="s">
        <v>126</v>
      </c>
      <c r="H35" s="75" t="s">
        <v>127</v>
      </c>
      <c r="I35" s="19">
        <v>38733492125</v>
      </c>
      <c r="J35" s="76" t="s">
        <v>128</v>
      </c>
      <c r="K35" s="22" t="s">
        <v>129</v>
      </c>
      <c r="L35" s="22" t="s">
        <v>130</v>
      </c>
      <c r="M35" s="22" t="s">
        <v>131</v>
      </c>
      <c r="N35" s="76" t="s">
        <v>132</v>
      </c>
      <c r="O35" s="22" t="s">
        <v>133</v>
      </c>
      <c r="P35" s="38" t="s">
        <v>96</v>
      </c>
      <c r="Q35" s="39"/>
    </row>
    <row r="36" spans="1:17" s="40" customFormat="1" ht="33.6" customHeight="1">
      <c r="A36" s="17">
        <v>7</v>
      </c>
      <c r="B36" s="19" t="s">
        <v>8</v>
      </c>
      <c r="C36" s="24" t="s">
        <v>134</v>
      </c>
      <c r="D36" s="17" t="s">
        <v>33</v>
      </c>
      <c r="E36" s="24" t="s">
        <v>88</v>
      </c>
      <c r="F36" s="24" t="s">
        <v>135</v>
      </c>
      <c r="G36" s="24" t="s">
        <v>90</v>
      </c>
      <c r="H36" s="72" t="s">
        <v>91</v>
      </c>
      <c r="I36" s="62">
        <v>38733725207</v>
      </c>
      <c r="J36" s="72" t="s">
        <v>92</v>
      </c>
      <c r="K36" s="24" t="s">
        <v>136</v>
      </c>
      <c r="L36" s="24" t="s">
        <v>137</v>
      </c>
      <c r="M36" s="24" t="s">
        <v>95</v>
      </c>
      <c r="N36" s="24" t="s">
        <v>95</v>
      </c>
      <c r="O36" s="24" t="s">
        <v>95</v>
      </c>
      <c r="P36" s="38" t="s">
        <v>96</v>
      </c>
      <c r="Q36" s="39"/>
    </row>
    <row r="37" spans="1:17" s="40" customFormat="1" ht="33.6" customHeight="1">
      <c r="A37" s="17">
        <v>8</v>
      </c>
      <c r="B37" s="19" t="s">
        <v>9</v>
      </c>
      <c r="C37" s="24" t="s">
        <v>138</v>
      </c>
      <c r="D37" s="17" t="s">
        <v>33</v>
      </c>
      <c r="E37" s="24" t="s">
        <v>88</v>
      </c>
      <c r="F37" s="24" t="s">
        <v>89</v>
      </c>
      <c r="G37" s="24" t="s">
        <v>90</v>
      </c>
      <c r="H37" s="72" t="s">
        <v>91</v>
      </c>
      <c r="I37" s="62">
        <v>38733725207</v>
      </c>
      <c r="J37" s="72" t="s">
        <v>92</v>
      </c>
      <c r="K37" s="24" t="s">
        <v>139</v>
      </c>
      <c r="L37" s="24" t="s">
        <v>140</v>
      </c>
      <c r="M37" s="24" t="s">
        <v>95</v>
      </c>
      <c r="N37" s="24" t="s">
        <v>95</v>
      </c>
      <c r="O37" s="24" t="s">
        <v>95</v>
      </c>
      <c r="P37" s="38" t="s">
        <v>96</v>
      </c>
      <c r="Q37" s="39"/>
    </row>
    <row r="38" spans="1:17" s="40" customFormat="1" ht="33.6" customHeight="1">
      <c r="A38" s="17">
        <v>9</v>
      </c>
      <c r="B38" s="19" t="s">
        <v>10</v>
      </c>
      <c r="C38" s="24" t="s">
        <v>141</v>
      </c>
      <c r="D38" s="17" t="s">
        <v>33</v>
      </c>
      <c r="E38" s="24" t="s">
        <v>88</v>
      </c>
      <c r="F38" s="24" t="s">
        <v>89</v>
      </c>
      <c r="G38" s="24" t="s">
        <v>90</v>
      </c>
      <c r="H38" s="72" t="s">
        <v>91</v>
      </c>
      <c r="I38" s="62">
        <v>38733725207</v>
      </c>
      <c r="J38" s="72" t="s">
        <v>92</v>
      </c>
      <c r="K38" s="25" t="s">
        <v>142</v>
      </c>
      <c r="L38" s="24" t="s">
        <v>143</v>
      </c>
      <c r="M38" s="24" t="s">
        <v>95</v>
      </c>
      <c r="N38" s="24" t="s">
        <v>95</v>
      </c>
      <c r="O38" s="24" t="s">
        <v>95</v>
      </c>
      <c r="P38" s="38" t="s">
        <v>96</v>
      </c>
      <c r="Q38" s="39"/>
    </row>
    <row r="39" spans="1:17" s="40" customFormat="1" ht="33.6" customHeight="1">
      <c r="A39" s="17">
        <v>15</v>
      </c>
      <c r="B39" s="17" t="s">
        <v>17</v>
      </c>
      <c r="C39" s="17" t="s">
        <v>144</v>
      </c>
      <c r="D39" s="17" t="s">
        <v>33</v>
      </c>
      <c r="E39" s="17" t="s">
        <v>110</v>
      </c>
      <c r="F39" s="17" t="s">
        <v>111</v>
      </c>
      <c r="G39" s="17" t="s">
        <v>112</v>
      </c>
      <c r="H39" s="75" t="s">
        <v>113</v>
      </c>
      <c r="I39" s="17">
        <v>38733723635</v>
      </c>
      <c r="J39" s="75" t="s">
        <v>145</v>
      </c>
      <c r="K39" s="17" t="s">
        <v>146</v>
      </c>
      <c r="L39" s="17" t="s">
        <v>147</v>
      </c>
      <c r="M39" s="75" t="s">
        <v>148</v>
      </c>
      <c r="N39" s="75" t="s">
        <v>148</v>
      </c>
      <c r="O39" s="17"/>
      <c r="P39" s="38" t="s">
        <v>96</v>
      </c>
      <c r="Q39" s="39"/>
    </row>
    <row r="40" spans="1:17" s="40" customFormat="1" ht="33.6" customHeight="1">
      <c r="A40" s="17">
        <v>19</v>
      </c>
      <c r="B40" s="17" t="s">
        <v>20</v>
      </c>
      <c r="C40" s="17" t="s">
        <v>149</v>
      </c>
      <c r="D40" s="17" t="s">
        <v>33</v>
      </c>
      <c r="E40" s="17" t="s">
        <v>110</v>
      </c>
      <c r="F40" s="17" t="s">
        <v>111</v>
      </c>
      <c r="G40" s="17" t="s">
        <v>112</v>
      </c>
      <c r="H40" s="75" t="s">
        <v>113</v>
      </c>
      <c r="I40" s="17">
        <v>38733723635</v>
      </c>
      <c r="J40" s="75" t="s">
        <v>145</v>
      </c>
      <c r="K40" s="17" t="s">
        <v>146</v>
      </c>
      <c r="L40" s="17" t="s">
        <v>150</v>
      </c>
      <c r="M40" s="75" t="s">
        <v>151</v>
      </c>
      <c r="N40" s="75" t="s">
        <v>151</v>
      </c>
      <c r="O40" s="17"/>
      <c r="P40" s="38" t="s">
        <v>96</v>
      </c>
      <c r="Q40" s="39"/>
    </row>
    <row r="41" spans="1:17" s="40" customFormat="1" ht="46.5" customHeight="1">
      <c r="A41" s="17">
        <v>20</v>
      </c>
      <c r="B41" s="17" t="s">
        <v>21</v>
      </c>
      <c r="C41" s="17" t="s">
        <v>152</v>
      </c>
      <c r="D41" s="17" t="s">
        <v>33</v>
      </c>
      <c r="E41" s="17" t="s">
        <v>110</v>
      </c>
      <c r="F41" s="17" t="s">
        <v>111</v>
      </c>
      <c r="G41" s="17" t="s">
        <v>112</v>
      </c>
      <c r="H41" s="75" t="s">
        <v>113</v>
      </c>
      <c r="I41" s="17">
        <v>38733723635</v>
      </c>
      <c r="J41" s="75" t="s">
        <v>145</v>
      </c>
      <c r="K41" s="17" t="s">
        <v>146</v>
      </c>
      <c r="L41" s="17" t="s">
        <v>153</v>
      </c>
      <c r="M41" s="75" t="s">
        <v>154</v>
      </c>
      <c r="N41" s="75" t="s">
        <v>154</v>
      </c>
      <c r="O41" s="17"/>
      <c r="P41" s="38" t="s">
        <v>96</v>
      </c>
      <c r="Q41" s="39"/>
    </row>
    <row r="42" spans="1:17" s="46" customFormat="1" ht="33.6" customHeight="1">
      <c r="A42" s="17">
        <v>21</v>
      </c>
      <c r="B42" s="17" t="s">
        <v>25</v>
      </c>
      <c r="C42" s="17" t="s">
        <v>25</v>
      </c>
      <c r="D42" s="17" t="s">
        <v>33</v>
      </c>
      <c r="E42" s="17" t="s">
        <v>110</v>
      </c>
      <c r="F42" s="17" t="s">
        <v>111</v>
      </c>
      <c r="G42" s="17" t="s">
        <v>112</v>
      </c>
      <c r="H42" s="75" t="s">
        <v>113</v>
      </c>
      <c r="I42" s="17">
        <v>38733723635</v>
      </c>
      <c r="J42" s="75" t="s">
        <v>145</v>
      </c>
      <c r="K42" s="17" t="s">
        <v>155</v>
      </c>
      <c r="L42" s="17" t="s">
        <v>156</v>
      </c>
      <c r="M42" s="75" t="s">
        <v>157</v>
      </c>
      <c r="N42" s="75" t="s">
        <v>158</v>
      </c>
      <c r="O42" s="17"/>
      <c r="P42" s="38" t="s">
        <v>96</v>
      </c>
      <c r="Q42" s="45"/>
    </row>
    <row r="43" spans="1:17" s="46" customFormat="1" ht="33.6" customHeight="1">
      <c r="A43" s="17">
        <v>33</v>
      </c>
      <c r="B43" s="19" t="s">
        <v>30</v>
      </c>
      <c r="C43" s="19" t="s">
        <v>159</v>
      </c>
      <c r="D43" s="17" t="s">
        <v>33</v>
      </c>
      <c r="E43" s="19" t="s">
        <v>88</v>
      </c>
      <c r="F43" s="19"/>
      <c r="G43" s="19"/>
      <c r="H43" s="73"/>
      <c r="I43" s="19"/>
      <c r="J43" s="73"/>
      <c r="K43" s="19" t="s">
        <v>160</v>
      </c>
      <c r="L43" s="19"/>
      <c r="M43" s="73"/>
      <c r="N43" s="73"/>
      <c r="O43" s="58"/>
      <c r="P43" s="58" t="s">
        <v>98</v>
      </c>
      <c r="Q43" s="45"/>
    </row>
    <row r="44" spans="1:17" s="46" customFormat="1" ht="33.6" customHeight="1">
      <c r="A44" s="17">
        <v>49</v>
      </c>
      <c r="B44" s="19" t="s">
        <v>29</v>
      </c>
      <c r="C44" s="19" t="s">
        <v>161</v>
      </c>
      <c r="D44" s="17" t="s">
        <v>33</v>
      </c>
      <c r="E44" s="19" t="s">
        <v>88</v>
      </c>
      <c r="F44" s="19" t="s">
        <v>97</v>
      </c>
      <c r="G44" s="19"/>
      <c r="H44" s="73"/>
      <c r="I44" s="19"/>
      <c r="J44" s="73"/>
      <c r="K44" s="19" t="s">
        <v>162</v>
      </c>
      <c r="L44" s="19"/>
      <c r="M44" s="73"/>
      <c r="N44" s="73"/>
      <c r="O44" s="58"/>
      <c r="P44" s="58" t="s">
        <v>98</v>
      </c>
      <c r="Q44" s="45"/>
    </row>
    <row r="45" spans="1:17" s="46" customFormat="1" ht="33.6" customHeight="1">
      <c r="A45" s="17">
        <v>50</v>
      </c>
      <c r="B45" s="19" t="s">
        <v>31</v>
      </c>
      <c r="C45" s="19" t="s">
        <v>163</v>
      </c>
      <c r="D45" s="17" t="s">
        <v>33</v>
      </c>
      <c r="E45" s="19" t="s">
        <v>110</v>
      </c>
      <c r="F45" s="19" t="s">
        <v>164</v>
      </c>
      <c r="G45" s="19"/>
      <c r="H45" s="73"/>
      <c r="I45" s="19"/>
      <c r="J45" s="73"/>
      <c r="K45" s="19"/>
      <c r="L45" s="19"/>
      <c r="M45" s="73"/>
      <c r="N45" s="73"/>
      <c r="O45" s="58"/>
      <c r="P45" s="58" t="s">
        <v>98</v>
      </c>
      <c r="Q45" s="45"/>
    </row>
    <row r="46" spans="1:17" s="46" customFormat="1" ht="33.6" customHeight="1">
      <c r="A46" s="17">
        <v>53</v>
      </c>
      <c r="B46" s="19" t="s">
        <v>19</v>
      </c>
      <c r="C46" s="19" t="s">
        <v>165</v>
      </c>
      <c r="D46" s="17" t="s">
        <v>33</v>
      </c>
      <c r="E46" s="19" t="s">
        <v>110</v>
      </c>
      <c r="F46" s="58"/>
      <c r="G46" s="58"/>
      <c r="H46" s="58"/>
      <c r="I46" s="58"/>
      <c r="J46" s="58"/>
      <c r="K46" s="19" t="s">
        <v>166</v>
      </c>
      <c r="L46" s="58"/>
      <c r="M46" s="58"/>
      <c r="N46" s="58"/>
      <c r="O46" s="58"/>
      <c r="P46" s="58" t="s">
        <v>167</v>
      </c>
      <c r="Q46" s="45"/>
    </row>
    <row r="47" spans="1:17" s="46" customFormat="1" ht="33.6" customHeight="1">
      <c r="A47" s="17">
        <v>31</v>
      </c>
      <c r="B47" s="19" t="s">
        <v>3</v>
      </c>
      <c r="C47" s="19" t="s">
        <v>168</v>
      </c>
      <c r="D47" s="17" t="s">
        <v>33</v>
      </c>
      <c r="E47" s="19" t="s">
        <v>88</v>
      </c>
      <c r="F47" s="19" t="s">
        <v>169</v>
      </c>
      <c r="G47" s="19" t="s">
        <v>170</v>
      </c>
      <c r="H47" s="73"/>
      <c r="I47" s="19">
        <v>38733285261</v>
      </c>
      <c r="J47" s="73"/>
      <c r="K47" s="19"/>
      <c r="L47" s="19" t="s">
        <v>171</v>
      </c>
      <c r="M47" s="73"/>
      <c r="N47" s="73"/>
      <c r="O47" s="58"/>
      <c r="P47" s="58" t="s">
        <v>98</v>
      </c>
      <c r="Q47" s="45"/>
    </row>
    <row r="48" spans="1:17" s="46" customFormat="1" ht="33.6" customHeight="1">
      <c r="A48" s="17">
        <v>34</v>
      </c>
      <c r="B48" s="19" t="s">
        <v>6</v>
      </c>
      <c r="C48" s="19" t="s">
        <v>172</v>
      </c>
      <c r="D48" s="17" t="s">
        <v>33</v>
      </c>
      <c r="E48" s="19" t="s">
        <v>110</v>
      </c>
      <c r="F48" s="19" t="s">
        <v>173</v>
      </c>
      <c r="G48" s="19" t="s">
        <v>174</v>
      </c>
      <c r="H48" s="73" t="s">
        <v>175</v>
      </c>
      <c r="I48" s="64">
        <v>387733637384</v>
      </c>
      <c r="J48" s="73" t="s">
        <v>176</v>
      </c>
      <c r="K48" s="19" t="s">
        <v>177</v>
      </c>
      <c r="L48" s="19" t="s">
        <v>178</v>
      </c>
      <c r="M48" s="19" t="s">
        <v>179</v>
      </c>
      <c r="N48" s="77" t="s">
        <v>180</v>
      </c>
      <c r="O48" s="58"/>
      <c r="P48" s="58" t="s">
        <v>98</v>
      </c>
      <c r="Q48" s="45"/>
    </row>
    <row r="49" spans="1:17" s="46" customFormat="1" ht="33.6" customHeight="1">
      <c r="A49" s="17">
        <v>36</v>
      </c>
      <c r="B49" s="19" t="s">
        <v>7</v>
      </c>
      <c r="C49" s="19" t="s">
        <v>181</v>
      </c>
      <c r="D49" s="17" t="s">
        <v>33</v>
      </c>
      <c r="E49" s="19" t="s">
        <v>88</v>
      </c>
      <c r="F49" s="19" t="s">
        <v>173</v>
      </c>
      <c r="G49" s="19" t="s">
        <v>174</v>
      </c>
      <c r="H49" s="77" t="s">
        <v>180</v>
      </c>
      <c r="I49" s="64">
        <v>387733637384</v>
      </c>
      <c r="J49" s="73" t="s">
        <v>176</v>
      </c>
      <c r="K49" s="19" t="s">
        <v>182</v>
      </c>
      <c r="L49" s="77" t="s">
        <v>180</v>
      </c>
      <c r="M49" s="77" t="s">
        <v>180</v>
      </c>
      <c r="N49" s="77" t="s">
        <v>180</v>
      </c>
      <c r="O49" s="58"/>
      <c r="P49" s="58" t="s">
        <v>98</v>
      </c>
      <c r="Q49" s="45"/>
    </row>
    <row r="50" spans="1:17" s="46" customFormat="1" ht="33.6" customHeight="1">
      <c r="A50" s="17">
        <v>39</v>
      </c>
      <c r="B50" s="19" t="s">
        <v>12</v>
      </c>
      <c r="C50" s="19" t="s">
        <v>183</v>
      </c>
      <c r="D50" s="17" t="s">
        <v>33</v>
      </c>
      <c r="E50" s="19" t="s">
        <v>88</v>
      </c>
      <c r="F50" s="19" t="s">
        <v>184</v>
      </c>
      <c r="G50" s="19"/>
      <c r="H50" s="73"/>
      <c r="I50" s="19"/>
      <c r="J50" s="73"/>
      <c r="K50" s="19"/>
      <c r="L50" s="19"/>
      <c r="M50" s="73"/>
      <c r="N50" s="73"/>
      <c r="O50" s="58"/>
      <c r="P50" s="58" t="s">
        <v>98</v>
      </c>
      <c r="Q50" s="45"/>
    </row>
    <row r="51" spans="1:17" s="46" customFormat="1" ht="33.6" customHeight="1">
      <c r="A51" s="17">
        <v>40</v>
      </c>
      <c r="B51" s="19" t="s">
        <v>13</v>
      </c>
      <c r="C51" s="19" t="s">
        <v>185</v>
      </c>
      <c r="D51" s="17" t="s">
        <v>33</v>
      </c>
      <c r="E51" s="19" t="s">
        <v>186</v>
      </c>
      <c r="F51" s="19" t="s">
        <v>187</v>
      </c>
      <c r="G51" s="19" t="s">
        <v>188</v>
      </c>
      <c r="H51" s="73" t="s">
        <v>189</v>
      </c>
      <c r="I51" s="19">
        <v>38733653093</v>
      </c>
      <c r="J51" s="73"/>
      <c r="K51" s="19"/>
      <c r="L51" s="19"/>
      <c r="M51" s="19"/>
      <c r="N51" s="73"/>
      <c r="O51" s="58"/>
      <c r="P51" s="58" t="s">
        <v>98</v>
      </c>
      <c r="Q51" s="45"/>
    </row>
    <row r="52" spans="1:17" s="40" customFormat="1" ht="33.6" customHeight="1">
      <c r="A52" s="17">
        <v>41</v>
      </c>
      <c r="B52" s="19" t="s">
        <v>14</v>
      </c>
      <c r="C52" s="19" t="s">
        <v>190</v>
      </c>
      <c r="D52" s="17" t="s">
        <v>33</v>
      </c>
      <c r="E52" s="19" t="s">
        <v>191</v>
      </c>
      <c r="F52" s="19" t="s">
        <v>192</v>
      </c>
      <c r="G52" s="19"/>
      <c r="H52" s="73"/>
      <c r="I52" s="19"/>
      <c r="J52" s="73"/>
      <c r="K52" s="19" t="s">
        <v>193</v>
      </c>
      <c r="L52" s="19"/>
      <c r="M52" s="19" t="s">
        <v>194</v>
      </c>
      <c r="N52" s="73"/>
      <c r="O52" s="58"/>
      <c r="P52" s="58" t="s">
        <v>98</v>
      </c>
      <c r="Q52" s="39"/>
    </row>
    <row r="53" spans="1:17" s="40" customFormat="1" ht="33.6" customHeight="1">
      <c r="A53" s="17">
        <v>42</v>
      </c>
      <c r="B53" s="19" t="s">
        <v>15</v>
      </c>
      <c r="C53" s="19"/>
      <c r="D53" s="17" t="s">
        <v>33</v>
      </c>
      <c r="E53" s="19" t="s">
        <v>88</v>
      </c>
      <c r="F53" s="19" t="s">
        <v>97</v>
      </c>
      <c r="G53" s="19"/>
      <c r="H53" s="73"/>
      <c r="I53" s="19"/>
      <c r="J53" s="73"/>
      <c r="K53" s="19"/>
      <c r="L53" s="19"/>
      <c r="M53" s="73"/>
      <c r="N53" s="73"/>
      <c r="O53" s="58"/>
      <c r="P53" s="58" t="s">
        <v>98</v>
      </c>
      <c r="Q53" s="39"/>
    </row>
    <row r="54" spans="1:17" s="40" customFormat="1" ht="33.6" customHeight="1">
      <c r="A54" s="17">
        <v>52</v>
      </c>
      <c r="B54" s="19" t="s">
        <v>16</v>
      </c>
      <c r="C54" s="19" t="s">
        <v>195</v>
      </c>
      <c r="D54" s="17" t="s">
        <v>33</v>
      </c>
      <c r="E54" s="19" t="s">
        <v>110</v>
      </c>
      <c r="F54" s="58"/>
      <c r="G54" s="58"/>
      <c r="H54" s="78" t="s">
        <v>196</v>
      </c>
      <c r="I54" s="58"/>
      <c r="J54" s="58"/>
      <c r="K54" s="19" t="s">
        <v>197</v>
      </c>
      <c r="L54" s="58"/>
      <c r="M54" s="58"/>
      <c r="N54" s="58"/>
      <c r="O54" s="58"/>
      <c r="P54" s="58" t="s">
        <v>167</v>
      </c>
      <c r="Q54" s="39"/>
    </row>
    <row r="55" spans="1:17" s="40" customFormat="1" ht="33.6" customHeight="1">
      <c r="A55" s="17">
        <v>58</v>
      </c>
      <c r="B55" s="19" t="s">
        <v>22</v>
      </c>
      <c r="C55" s="19" t="s">
        <v>198</v>
      </c>
      <c r="D55" s="17" t="s">
        <v>33</v>
      </c>
      <c r="E55" s="58" t="s">
        <v>199</v>
      </c>
      <c r="F55" s="58"/>
      <c r="G55" s="58"/>
      <c r="H55" s="19"/>
      <c r="I55" s="58"/>
      <c r="J55" s="58"/>
      <c r="K55" s="19" t="s">
        <v>200</v>
      </c>
      <c r="L55" s="58"/>
      <c r="M55" s="58"/>
      <c r="N55" s="58"/>
      <c r="O55" s="58"/>
      <c r="P55" s="58" t="s">
        <v>167</v>
      </c>
      <c r="Q55" s="39"/>
    </row>
    <row r="56" spans="1:17" s="40" customFormat="1" ht="33.6" customHeight="1">
      <c r="A56" s="17">
        <v>59</v>
      </c>
      <c r="B56" s="20" t="s">
        <v>23</v>
      </c>
      <c r="C56" s="20" t="s">
        <v>201</v>
      </c>
      <c r="D56" s="17" t="s">
        <v>33</v>
      </c>
      <c r="E56" s="58" t="s">
        <v>110</v>
      </c>
      <c r="F56" s="58"/>
      <c r="G56" s="58"/>
      <c r="H56" s="19"/>
      <c r="I56" s="58"/>
      <c r="J56" s="58"/>
      <c r="K56" s="19" t="s">
        <v>202</v>
      </c>
      <c r="L56" s="58"/>
      <c r="M56" s="58"/>
      <c r="N56" s="58"/>
      <c r="O56" s="58"/>
      <c r="P56" s="58" t="s">
        <v>167</v>
      </c>
      <c r="Q56" s="39"/>
    </row>
    <row r="57" spans="1:17" s="40" customFormat="1" ht="33.6" customHeight="1">
      <c r="A57" s="17">
        <v>60</v>
      </c>
      <c r="B57" s="19" t="s">
        <v>24</v>
      </c>
      <c r="C57" s="19"/>
      <c r="D57" s="17" t="s">
        <v>33</v>
      </c>
      <c r="E57" s="58" t="s">
        <v>88</v>
      </c>
      <c r="F57" s="58"/>
      <c r="G57" s="58"/>
      <c r="H57" s="73"/>
      <c r="I57" s="58"/>
      <c r="J57" s="58"/>
      <c r="K57" s="19"/>
      <c r="L57" s="58"/>
      <c r="M57" s="58"/>
      <c r="N57" s="58"/>
      <c r="O57" s="58"/>
      <c r="P57" s="58" t="s">
        <v>167</v>
      </c>
      <c r="Q57" s="39"/>
    </row>
    <row r="58" spans="1:17" s="40" customFormat="1" ht="33.6" customHeight="1">
      <c r="A58" s="17">
        <v>11</v>
      </c>
      <c r="B58" s="19" t="s">
        <v>34</v>
      </c>
      <c r="C58" s="24" t="s">
        <v>208</v>
      </c>
      <c r="D58" s="19" t="s">
        <v>33</v>
      </c>
      <c r="E58" s="24" t="s">
        <v>88</v>
      </c>
      <c r="F58" s="24" t="s">
        <v>89</v>
      </c>
      <c r="G58" s="24" t="s">
        <v>90</v>
      </c>
      <c r="H58" s="72" t="s">
        <v>91</v>
      </c>
      <c r="I58" s="62">
        <v>38733725207</v>
      </c>
      <c r="J58" s="72" t="s">
        <v>92</v>
      </c>
      <c r="K58" s="24" t="s">
        <v>209</v>
      </c>
      <c r="L58" s="24" t="s">
        <v>210</v>
      </c>
      <c r="M58" s="24" t="s">
        <v>95</v>
      </c>
      <c r="N58" s="24" t="s">
        <v>95</v>
      </c>
      <c r="O58" s="24" t="s">
        <v>95</v>
      </c>
      <c r="P58" s="38" t="s">
        <v>96</v>
      </c>
      <c r="Q58" s="39"/>
    </row>
    <row r="59" spans="1:17" s="40" customFormat="1" ht="33.6" customHeight="1">
      <c r="A59" s="17">
        <v>12</v>
      </c>
      <c r="B59" s="19" t="s">
        <v>35</v>
      </c>
      <c r="C59" s="19" t="s">
        <v>211</v>
      </c>
      <c r="D59" s="19" t="s">
        <v>33</v>
      </c>
      <c r="E59" s="17" t="s">
        <v>88</v>
      </c>
      <c r="F59" s="19" t="s">
        <v>212</v>
      </c>
      <c r="G59" s="19" t="s">
        <v>213</v>
      </c>
      <c r="H59" s="73" t="s">
        <v>214</v>
      </c>
      <c r="I59" s="19">
        <v>38733291190</v>
      </c>
      <c r="J59" s="19" t="s">
        <v>215</v>
      </c>
      <c r="K59" s="19" t="s">
        <v>216</v>
      </c>
      <c r="L59" s="19" t="s">
        <v>217</v>
      </c>
      <c r="M59" s="19" t="s">
        <v>218</v>
      </c>
      <c r="N59" s="19" t="s">
        <v>219</v>
      </c>
      <c r="O59" s="19" t="s">
        <v>220</v>
      </c>
      <c r="P59" s="38" t="s">
        <v>96</v>
      </c>
      <c r="Q59" s="39"/>
    </row>
    <row r="60" spans="1:17" s="46" customFormat="1" ht="33.6" customHeight="1">
      <c r="A60" s="17">
        <v>29</v>
      </c>
      <c r="B60" s="27" t="s">
        <v>38</v>
      </c>
      <c r="C60" s="19" t="s">
        <v>221</v>
      </c>
      <c r="D60" s="19" t="s">
        <v>33</v>
      </c>
      <c r="E60" s="27" t="s">
        <v>222</v>
      </c>
      <c r="F60" s="19" t="s">
        <v>173</v>
      </c>
      <c r="G60" s="19" t="s">
        <v>223</v>
      </c>
      <c r="H60" s="73" t="s">
        <v>224</v>
      </c>
      <c r="I60" s="19">
        <v>38733775723</v>
      </c>
      <c r="J60" s="73" t="s">
        <v>225</v>
      </c>
      <c r="K60" s="19" t="s">
        <v>226</v>
      </c>
      <c r="L60" s="27" t="s">
        <v>227</v>
      </c>
      <c r="M60" s="19" t="s">
        <v>228</v>
      </c>
      <c r="N60" s="73" t="s">
        <v>229</v>
      </c>
      <c r="O60" s="19"/>
      <c r="P60" s="38" t="s">
        <v>96</v>
      </c>
      <c r="Q60" s="45"/>
    </row>
    <row r="61" spans="1:17" s="46" customFormat="1" ht="33.6" customHeight="1">
      <c r="A61" s="17">
        <v>48</v>
      </c>
      <c r="B61" s="19" t="s">
        <v>37</v>
      </c>
      <c r="C61" s="19" t="s">
        <v>230</v>
      </c>
      <c r="D61" s="19" t="s">
        <v>33</v>
      </c>
      <c r="E61" s="19" t="s">
        <v>222</v>
      </c>
      <c r="F61" s="19" t="s">
        <v>231</v>
      </c>
      <c r="G61" s="19"/>
      <c r="H61" s="58"/>
      <c r="I61" s="58"/>
      <c r="J61" s="58"/>
      <c r="K61" s="58"/>
      <c r="L61" s="58"/>
      <c r="M61" s="58"/>
      <c r="N61" s="58"/>
      <c r="O61" s="58"/>
      <c r="P61" s="58" t="s">
        <v>98</v>
      </c>
      <c r="Q61" s="45"/>
    </row>
    <row r="62" spans="1:17" s="46" customFormat="1" ht="33.6" customHeight="1">
      <c r="A62" s="17">
        <v>47</v>
      </c>
      <c r="B62" s="19" t="s">
        <v>36</v>
      </c>
      <c r="C62" s="19" t="s">
        <v>232</v>
      </c>
      <c r="D62" s="19" t="s">
        <v>33</v>
      </c>
      <c r="E62" s="19" t="s">
        <v>88</v>
      </c>
      <c r="F62" s="19" t="s">
        <v>233</v>
      </c>
      <c r="G62" s="19" t="s">
        <v>234</v>
      </c>
      <c r="H62" s="73" t="s">
        <v>235</v>
      </c>
      <c r="I62" s="19">
        <v>38733214249</v>
      </c>
      <c r="J62" s="73"/>
      <c r="K62" s="19"/>
      <c r="L62" s="19"/>
      <c r="M62" s="73" t="s">
        <v>235</v>
      </c>
      <c r="N62" s="73" t="s">
        <v>235</v>
      </c>
      <c r="O62" s="58"/>
      <c r="P62" s="58" t="s">
        <v>98</v>
      </c>
      <c r="Q62" s="45"/>
    </row>
    <row r="63" spans="1:17" s="40" customFormat="1" ht="33.6" customHeight="1">
      <c r="A63" s="17">
        <v>24</v>
      </c>
      <c r="B63" s="19" t="s">
        <v>27</v>
      </c>
      <c r="C63" s="24" t="s">
        <v>203</v>
      </c>
      <c r="D63" s="58" t="s">
        <v>33</v>
      </c>
      <c r="E63" s="24" t="s">
        <v>88</v>
      </c>
      <c r="F63" s="24" t="s">
        <v>204</v>
      </c>
      <c r="G63" s="24" t="s">
        <v>90</v>
      </c>
      <c r="H63" s="24" t="s">
        <v>91</v>
      </c>
      <c r="I63" s="62">
        <v>38733725207</v>
      </c>
      <c r="J63" s="75" t="s">
        <v>92</v>
      </c>
      <c r="K63" s="24" t="s">
        <v>205</v>
      </c>
      <c r="L63" s="24" t="s">
        <v>206</v>
      </c>
      <c r="M63" s="24" t="s">
        <v>95</v>
      </c>
      <c r="N63" s="24" t="s">
        <v>95</v>
      </c>
      <c r="O63" s="24" t="s">
        <v>95</v>
      </c>
      <c r="P63" s="38" t="s">
        <v>96</v>
      </c>
      <c r="Q63" s="39"/>
    </row>
    <row r="64" spans="1:17" s="40" customFormat="1" ht="33.6" customHeight="1">
      <c r="A64" s="17">
        <v>22</v>
      </c>
      <c r="B64" s="19" t="s">
        <v>26</v>
      </c>
      <c r="C64" s="24" t="s">
        <v>87</v>
      </c>
      <c r="D64" s="17" t="s">
        <v>40</v>
      </c>
      <c r="E64" s="24" t="s">
        <v>88</v>
      </c>
      <c r="F64" s="24" t="s">
        <v>89</v>
      </c>
      <c r="G64" s="24" t="s">
        <v>90</v>
      </c>
      <c r="H64" s="72" t="s">
        <v>91</v>
      </c>
      <c r="I64" s="62">
        <v>38733725207</v>
      </c>
      <c r="J64" s="72" t="s">
        <v>92</v>
      </c>
      <c r="K64" s="24" t="s">
        <v>93</v>
      </c>
      <c r="L64" s="24" t="s">
        <v>94</v>
      </c>
      <c r="M64" s="24" t="s">
        <v>95</v>
      </c>
      <c r="N64" s="24" t="s">
        <v>95</v>
      </c>
      <c r="O64" s="24" t="s">
        <v>95</v>
      </c>
      <c r="P64" s="38" t="s">
        <v>96</v>
      </c>
      <c r="Q64" s="39"/>
    </row>
    <row r="65" spans="1:17" s="40" customFormat="1" ht="33.6" customHeight="1">
      <c r="A65" s="17">
        <v>4</v>
      </c>
      <c r="B65" s="22" t="s">
        <v>5</v>
      </c>
      <c r="C65" s="22" t="s">
        <v>124</v>
      </c>
      <c r="D65" s="17" t="s">
        <v>40</v>
      </c>
      <c r="E65" s="22" t="s">
        <v>110</v>
      </c>
      <c r="F65" s="22" t="s">
        <v>125</v>
      </c>
      <c r="G65" s="22" t="s">
        <v>126</v>
      </c>
      <c r="H65" s="75" t="s">
        <v>127</v>
      </c>
      <c r="I65" s="19">
        <v>38733492125</v>
      </c>
      <c r="J65" s="76" t="s">
        <v>128</v>
      </c>
      <c r="K65" s="22" t="s">
        <v>129</v>
      </c>
      <c r="L65" s="22" t="s">
        <v>130</v>
      </c>
      <c r="M65" s="22" t="s">
        <v>131</v>
      </c>
      <c r="N65" s="76" t="s">
        <v>132</v>
      </c>
      <c r="O65" s="22" t="s">
        <v>133</v>
      </c>
      <c r="P65" s="38" t="s">
        <v>96</v>
      </c>
      <c r="Q65" s="39"/>
    </row>
    <row r="66" spans="1:17" s="40" customFormat="1" ht="33.6" customHeight="1">
      <c r="A66" s="17">
        <v>7</v>
      </c>
      <c r="B66" s="19" t="s">
        <v>8</v>
      </c>
      <c r="C66" s="24" t="s">
        <v>134</v>
      </c>
      <c r="D66" s="17" t="s">
        <v>40</v>
      </c>
      <c r="E66" s="24" t="s">
        <v>88</v>
      </c>
      <c r="F66" s="24" t="s">
        <v>135</v>
      </c>
      <c r="G66" s="24" t="s">
        <v>90</v>
      </c>
      <c r="H66" s="72" t="s">
        <v>91</v>
      </c>
      <c r="I66" s="62">
        <v>38733725207</v>
      </c>
      <c r="J66" s="72" t="s">
        <v>92</v>
      </c>
      <c r="K66" s="24" t="s">
        <v>136</v>
      </c>
      <c r="L66" s="24" t="s">
        <v>137</v>
      </c>
      <c r="M66" s="24" t="s">
        <v>95</v>
      </c>
      <c r="N66" s="24" t="s">
        <v>95</v>
      </c>
      <c r="O66" s="24" t="s">
        <v>95</v>
      </c>
      <c r="P66" s="38" t="s">
        <v>96</v>
      </c>
      <c r="Q66" s="39"/>
    </row>
    <row r="67" spans="1:17" s="40" customFormat="1" ht="33.6" customHeight="1">
      <c r="A67" s="17">
        <v>8</v>
      </c>
      <c r="B67" s="19" t="s">
        <v>9</v>
      </c>
      <c r="C67" s="24" t="s">
        <v>138</v>
      </c>
      <c r="D67" s="17" t="s">
        <v>40</v>
      </c>
      <c r="E67" s="24" t="s">
        <v>88</v>
      </c>
      <c r="F67" s="24" t="s">
        <v>89</v>
      </c>
      <c r="G67" s="24" t="s">
        <v>90</v>
      </c>
      <c r="H67" s="72" t="s">
        <v>91</v>
      </c>
      <c r="I67" s="62">
        <v>38733725207</v>
      </c>
      <c r="J67" s="72" t="s">
        <v>92</v>
      </c>
      <c r="K67" s="24" t="s">
        <v>139</v>
      </c>
      <c r="L67" s="24" t="s">
        <v>140</v>
      </c>
      <c r="M67" s="24" t="s">
        <v>95</v>
      </c>
      <c r="N67" s="24" t="s">
        <v>95</v>
      </c>
      <c r="O67" s="24" t="s">
        <v>95</v>
      </c>
      <c r="P67" s="38" t="s">
        <v>96</v>
      </c>
      <c r="Q67" s="39"/>
    </row>
    <row r="68" spans="1:17" s="40" customFormat="1" ht="33.6" customHeight="1">
      <c r="A68" s="17">
        <v>9</v>
      </c>
      <c r="B68" s="19" t="s">
        <v>10</v>
      </c>
      <c r="C68" s="24" t="s">
        <v>141</v>
      </c>
      <c r="D68" s="17" t="s">
        <v>40</v>
      </c>
      <c r="E68" s="24" t="s">
        <v>88</v>
      </c>
      <c r="F68" s="24" t="s">
        <v>89</v>
      </c>
      <c r="G68" s="24" t="s">
        <v>90</v>
      </c>
      <c r="H68" s="72" t="s">
        <v>91</v>
      </c>
      <c r="I68" s="62">
        <v>38733725207</v>
      </c>
      <c r="J68" s="72" t="s">
        <v>92</v>
      </c>
      <c r="K68" s="25" t="s">
        <v>142</v>
      </c>
      <c r="L68" s="24" t="s">
        <v>143</v>
      </c>
      <c r="M68" s="24" t="s">
        <v>95</v>
      </c>
      <c r="N68" s="24" t="s">
        <v>95</v>
      </c>
      <c r="O68" s="24" t="s">
        <v>95</v>
      </c>
      <c r="P68" s="38" t="s">
        <v>96</v>
      </c>
      <c r="Q68" s="39"/>
    </row>
    <row r="69" spans="1:17" s="40" customFormat="1" ht="33.6" customHeight="1">
      <c r="A69" s="17">
        <v>15</v>
      </c>
      <c r="B69" s="17" t="s">
        <v>17</v>
      </c>
      <c r="C69" s="17" t="s">
        <v>144</v>
      </c>
      <c r="D69" s="17" t="s">
        <v>40</v>
      </c>
      <c r="E69" s="17" t="s">
        <v>110</v>
      </c>
      <c r="F69" s="17" t="s">
        <v>111</v>
      </c>
      <c r="G69" s="17" t="s">
        <v>112</v>
      </c>
      <c r="H69" s="75" t="s">
        <v>113</v>
      </c>
      <c r="I69" s="17">
        <v>38733723635</v>
      </c>
      <c r="J69" s="75" t="s">
        <v>145</v>
      </c>
      <c r="K69" s="17" t="s">
        <v>146</v>
      </c>
      <c r="L69" s="17" t="s">
        <v>147</v>
      </c>
      <c r="M69" s="75" t="s">
        <v>148</v>
      </c>
      <c r="N69" s="75" t="s">
        <v>148</v>
      </c>
      <c r="O69" s="17"/>
      <c r="P69" s="38" t="s">
        <v>96</v>
      </c>
      <c r="Q69" s="39"/>
    </row>
    <row r="70" spans="1:17" s="40" customFormat="1" ht="33.6" customHeight="1">
      <c r="A70" s="17">
        <v>19</v>
      </c>
      <c r="B70" s="17" t="s">
        <v>20</v>
      </c>
      <c r="C70" s="17" t="s">
        <v>149</v>
      </c>
      <c r="D70" s="17" t="s">
        <v>40</v>
      </c>
      <c r="E70" s="17" t="s">
        <v>110</v>
      </c>
      <c r="F70" s="17" t="s">
        <v>111</v>
      </c>
      <c r="G70" s="17" t="s">
        <v>112</v>
      </c>
      <c r="H70" s="75" t="s">
        <v>113</v>
      </c>
      <c r="I70" s="17">
        <v>38733723635</v>
      </c>
      <c r="J70" s="75" t="s">
        <v>145</v>
      </c>
      <c r="K70" s="17" t="s">
        <v>146</v>
      </c>
      <c r="L70" s="17" t="s">
        <v>150</v>
      </c>
      <c r="M70" s="75" t="s">
        <v>151</v>
      </c>
      <c r="N70" s="75" t="s">
        <v>151</v>
      </c>
      <c r="O70" s="17"/>
      <c r="P70" s="38" t="s">
        <v>96</v>
      </c>
      <c r="Q70" s="39"/>
    </row>
    <row r="71" spans="1:17" s="40" customFormat="1" ht="33.6" customHeight="1">
      <c r="A71" s="17">
        <v>20</v>
      </c>
      <c r="B71" s="17" t="s">
        <v>21</v>
      </c>
      <c r="C71" s="17" t="s">
        <v>152</v>
      </c>
      <c r="D71" s="17" t="s">
        <v>40</v>
      </c>
      <c r="E71" s="17" t="s">
        <v>110</v>
      </c>
      <c r="F71" s="17" t="s">
        <v>111</v>
      </c>
      <c r="G71" s="17" t="s">
        <v>112</v>
      </c>
      <c r="H71" s="75" t="s">
        <v>113</v>
      </c>
      <c r="I71" s="17">
        <v>38733723635</v>
      </c>
      <c r="J71" s="75" t="s">
        <v>145</v>
      </c>
      <c r="K71" s="17" t="s">
        <v>146</v>
      </c>
      <c r="L71" s="17" t="s">
        <v>153</v>
      </c>
      <c r="M71" s="75" t="s">
        <v>154</v>
      </c>
      <c r="N71" s="75" t="s">
        <v>154</v>
      </c>
      <c r="O71" s="17"/>
      <c r="P71" s="38" t="s">
        <v>96</v>
      </c>
      <c r="Q71" s="39"/>
    </row>
    <row r="72" spans="1:17" s="40" customFormat="1" ht="33.6" customHeight="1">
      <c r="A72" s="17">
        <v>21</v>
      </c>
      <c r="B72" s="17" t="s">
        <v>25</v>
      </c>
      <c r="C72" s="17" t="s">
        <v>25</v>
      </c>
      <c r="D72" s="17" t="s">
        <v>40</v>
      </c>
      <c r="E72" s="17" t="s">
        <v>110</v>
      </c>
      <c r="F72" s="17" t="s">
        <v>111</v>
      </c>
      <c r="G72" s="17" t="s">
        <v>112</v>
      </c>
      <c r="H72" s="75" t="s">
        <v>113</v>
      </c>
      <c r="I72" s="17">
        <v>38733723635</v>
      </c>
      <c r="J72" s="75" t="s">
        <v>145</v>
      </c>
      <c r="K72" s="17" t="s">
        <v>155</v>
      </c>
      <c r="L72" s="17" t="s">
        <v>156</v>
      </c>
      <c r="M72" s="75" t="s">
        <v>157</v>
      </c>
      <c r="N72" s="75" t="s">
        <v>158</v>
      </c>
      <c r="O72" s="17"/>
      <c r="P72" s="38" t="s">
        <v>96</v>
      </c>
      <c r="Q72" s="39"/>
    </row>
    <row r="73" spans="1:17" s="40" customFormat="1" ht="33.6" customHeight="1">
      <c r="A73" s="17">
        <v>53</v>
      </c>
      <c r="B73" s="19" t="s">
        <v>19</v>
      </c>
      <c r="C73" s="19" t="s">
        <v>165</v>
      </c>
      <c r="D73" s="17" t="s">
        <v>40</v>
      </c>
      <c r="E73" s="19" t="s">
        <v>110</v>
      </c>
      <c r="F73" s="58"/>
      <c r="G73" s="58"/>
      <c r="H73" s="58"/>
      <c r="I73" s="58"/>
      <c r="J73" s="58"/>
      <c r="K73" s="19" t="s">
        <v>166</v>
      </c>
      <c r="L73" s="58"/>
      <c r="M73" s="58"/>
      <c r="N73" s="58"/>
      <c r="O73" s="58"/>
      <c r="P73" s="58" t="s">
        <v>167</v>
      </c>
      <c r="Q73" s="39"/>
    </row>
    <row r="74" spans="1:17" s="40" customFormat="1" ht="33.6" customHeight="1">
      <c r="A74" s="17">
        <v>31</v>
      </c>
      <c r="B74" s="19" t="s">
        <v>3</v>
      </c>
      <c r="C74" s="19" t="s">
        <v>168</v>
      </c>
      <c r="D74" s="17" t="s">
        <v>40</v>
      </c>
      <c r="E74" s="19" t="s">
        <v>88</v>
      </c>
      <c r="F74" s="19" t="s">
        <v>169</v>
      </c>
      <c r="G74" s="19" t="s">
        <v>170</v>
      </c>
      <c r="H74" s="73"/>
      <c r="I74" s="19">
        <v>38733285261</v>
      </c>
      <c r="J74" s="73"/>
      <c r="K74" s="19"/>
      <c r="L74" s="19" t="s">
        <v>171</v>
      </c>
      <c r="M74" s="73"/>
      <c r="N74" s="73"/>
      <c r="O74" s="58"/>
      <c r="P74" s="58" t="s">
        <v>98</v>
      </c>
      <c r="Q74" s="39"/>
    </row>
    <row r="75" spans="1:17" s="40" customFormat="1" ht="33.6" customHeight="1">
      <c r="A75" s="17">
        <v>34</v>
      </c>
      <c r="B75" s="19" t="s">
        <v>6</v>
      </c>
      <c r="C75" s="19" t="s">
        <v>172</v>
      </c>
      <c r="D75" s="17" t="s">
        <v>40</v>
      </c>
      <c r="E75" s="19" t="s">
        <v>110</v>
      </c>
      <c r="F75" s="19" t="s">
        <v>173</v>
      </c>
      <c r="G75" s="19" t="s">
        <v>174</v>
      </c>
      <c r="H75" s="73" t="s">
        <v>175</v>
      </c>
      <c r="I75" s="64">
        <v>387733637384</v>
      </c>
      <c r="J75" s="73" t="s">
        <v>176</v>
      </c>
      <c r="K75" s="19" t="s">
        <v>177</v>
      </c>
      <c r="L75" s="19" t="s">
        <v>178</v>
      </c>
      <c r="M75" s="19" t="s">
        <v>179</v>
      </c>
      <c r="N75" s="77" t="s">
        <v>180</v>
      </c>
      <c r="O75" s="58"/>
      <c r="P75" s="58" t="s">
        <v>98</v>
      </c>
      <c r="Q75" s="39"/>
    </row>
    <row r="76" spans="1:17" s="40" customFormat="1" ht="33.6" customHeight="1">
      <c r="A76" s="17">
        <v>36</v>
      </c>
      <c r="B76" s="19" t="s">
        <v>7</v>
      </c>
      <c r="C76" s="19" t="s">
        <v>181</v>
      </c>
      <c r="D76" s="17" t="s">
        <v>40</v>
      </c>
      <c r="E76" s="19" t="s">
        <v>88</v>
      </c>
      <c r="F76" s="19" t="s">
        <v>173</v>
      </c>
      <c r="G76" s="19" t="s">
        <v>174</v>
      </c>
      <c r="H76" s="77" t="s">
        <v>180</v>
      </c>
      <c r="I76" s="64">
        <v>387733637384</v>
      </c>
      <c r="J76" s="73" t="s">
        <v>176</v>
      </c>
      <c r="K76" s="19" t="s">
        <v>182</v>
      </c>
      <c r="L76" s="77" t="s">
        <v>180</v>
      </c>
      <c r="M76" s="77" t="s">
        <v>180</v>
      </c>
      <c r="N76" s="77" t="s">
        <v>180</v>
      </c>
      <c r="O76" s="58"/>
      <c r="P76" s="58" t="s">
        <v>98</v>
      </c>
      <c r="Q76" s="39"/>
    </row>
    <row r="77" spans="1:17" s="40" customFormat="1" ht="33.6" customHeight="1">
      <c r="A77" s="17">
        <v>39</v>
      </c>
      <c r="B77" s="19" t="s">
        <v>12</v>
      </c>
      <c r="C77" s="19" t="s">
        <v>183</v>
      </c>
      <c r="D77" s="17" t="s">
        <v>40</v>
      </c>
      <c r="E77" s="19" t="s">
        <v>88</v>
      </c>
      <c r="F77" s="19" t="s">
        <v>184</v>
      </c>
      <c r="G77" s="19"/>
      <c r="H77" s="73"/>
      <c r="I77" s="19"/>
      <c r="J77" s="73"/>
      <c r="K77" s="19"/>
      <c r="L77" s="19"/>
      <c r="M77" s="73"/>
      <c r="N77" s="73"/>
      <c r="O77" s="58"/>
      <c r="P77" s="58" t="s">
        <v>98</v>
      </c>
      <c r="Q77" s="39"/>
    </row>
    <row r="78" spans="1:17" s="40" customFormat="1" ht="33.6" customHeight="1">
      <c r="A78" s="17">
        <v>40</v>
      </c>
      <c r="B78" s="19" t="s">
        <v>13</v>
      </c>
      <c r="C78" s="19" t="s">
        <v>185</v>
      </c>
      <c r="D78" s="17" t="s">
        <v>40</v>
      </c>
      <c r="E78" s="19" t="s">
        <v>186</v>
      </c>
      <c r="F78" s="19" t="s">
        <v>187</v>
      </c>
      <c r="G78" s="19" t="s">
        <v>188</v>
      </c>
      <c r="H78" s="73" t="s">
        <v>189</v>
      </c>
      <c r="I78" s="19">
        <v>38733653093</v>
      </c>
      <c r="J78" s="73"/>
      <c r="K78" s="19"/>
      <c r="L78" s="19"/>
      <c r="M78" s="19"/>
      <c r="N78" s="73"/>
      <c r="O78" s="58"/>
      <c r="P78" s="58" t="s">
        <v>98</v>
      </c>
      <c r="Q78" s="39"/>
    </row>
    <row r="79" spans="1:17" s="40" customFormat="1" ht="33.6" customHeight="1">
      <c r="A79" s="17">
        <v>41</v>
      </c>
      <c r="B79" s="19" t="s">
        <v>14</v>
      </c>
      <c r="C79" s="19" t="s">
        <v>190</v>
      </c>
      <c r="D79" s="17" t="s">
        <v>40</v>
      </c>
      <c r="E79" s="19" t="s">
        <v>191</v>
      </c>
      <c r="F79" s="19" t="s">
        <v>192</v>
      </c>
      <c r="G79" s="19"/>
      <c r="H79" s="73"/>
      <c r="I79" s="19"/>
      <c r="J79" s="73"/>
      <c r="K79" s="19" t="s">
        <v>193</v>
      </c>
      <c r="L79" s="19"/>
      <c r="M79" s="19" t="s">
        <v>194</v>
      </c>
      <c r="N79" s="73"/>
      <c r="O79" s="58"/>
      <c r="P79" s="58" t="s">
        <v>98</v>
      </c>
      <c r="Q79" s="39"/>
    </row>
    <row r="80" spans="1:17" s="40" customFormat="1" ht="33.6" customHeight="1">
      <c r="A80" s="17">
        <v>42</v>
      </c>
      <c r="B80" s="19" t="s">
        <v>15</v>
      </c>
      <c r="C80" s="19"/>
      <c r="D80" s="17" t="s">
        <v>40</v>
      </c>
      <c r="E80" s="19" t="s">
        <v>88</v>
      </c>
      <c r="F80" s="19" t="s">
        <v>97</v>
      </c>
      <c r="G80" s="19"/>
      <c r="H80" s="73"/>
      <c r="I80" s="19"/>
      <c r="J80" s="73"/>
      <c r="K80" s="19"/>
      <c r="L80" s="19"/>
      <c r="M80" s="73"/>
      <c r="N80" s="73"/>
      <c r="O80" s="58"/>
      <c r="P80" s="58" t="s">
        <v>98</v>
      </c>
      <c r="Q80" s="39"/>
    </row>
    <row r="81" spans="1:17" s="40" customFormat="1" ht="33.6" customHeight="1">
      <c r="A81" s="17">
        <v>52</v>
      </c>
      <c r="B81" s="19" t="s">
        <v>16</v>
      </c>
      <c r="C81" s="19" t="s">
        <v>195</v>
      </c>
      <c r="D81" s="17" t="s">
        <v>40</v>
      </c>
      <c r="E81" s="19" t="s">
        <v>110</v>
      </c>
      <c r="F81" s="58"/>
      <c r="G81" s="58"/>
      <c r="H81" s="78" t="s">
        <v>196</v>
      </c>
      <c r="I81" s="58"/>
      <c r="J81" s="58"/>
      <c r="K81" s="19" t="s">
        <v>197</v>
      </c>
      <c r="L81" s="58"/>
      <c r="M81" s="58"/>
      <c r="N81" s="58"/>
      <c r="O81" s="58"/>
      <c r="P81" s="58" t="s">
        <v>167</v>
      </c>
      <c r="Q81" s="39"/>
    </row>
    <row r="82" spans="1:17" s="40" customFormat="1" ht="33.6" customHeight="1">
      <c r="A82" s="17">
        <v>58</v>
      </c>
      <c r="B82" s="19" t="s">
        <v>22</v>
      </c>
      <c r="C82" s="19" t="s">
        <v>198</v>
      </c>
      <c r="D82" s="17" t="s">
        <v>40</v>
      </c>
      <c r="E82" s="58" t="s">
        <v>199</v>
      </c>
      <c r="F82" s="58"/>
      <c r="G82" s="58"/>
      <c r="H82" s="19"/>
      <c r="I82" s="58"/>
      <c r="J82" s="58"/>
      <c r="K82" s="19" t="s">
        <v>200</v>
      </c>
      <c r="L82" s="58"/>
      <c r="M82" s="58"/>
      <c r="N82" s="58"/>
      <c r="O82" s="58"/>
      <c r="P82" s="58" t="s">
        <v>167</v>
      </c>
      <c r="Q82" s="39"/>
    </row>
    <row r="83" spans="1:17" s="40" customFormat="1" ht="33.6" customHeight="1">
      <c r="A83" s="17">
        <v>59</v>
      </c>
      <c r="B83" s="20" t="s">
        <v>23</v>
      </c>
      <c r="C83" s="20" t="s">
        <v>201</v>
      </c>
      <c r="D83" s="17" t="s">
        <v>40</v>
      </c>
      <c r="E83" s="58" t="s">
        <v>110</v>
      </c>
      <c r="F83" s="58"/>
      <c r="G83" s="58"/>
      <c r="H83" s="19"/>
      <c r="I83" s="58"/>
      <c r="J83" s="58"/>
      <c r="K83" s="19" t="s">
        <v>202</v>
      </c>
      <c r="L83" s="58"/>
      <c r="M83" s="58"/>
      <c r="N83" s="58"/>
      <c r="O83" s="58"/>
      <c r="P83" s="58" t="s">
        <v>167</v>
      </c>
      <c r="Q83" s="39"/>
    </row>
    <row r="84" spans="1:17" s="40" customFormat="1" ht="33.6" customHeight="1">
      <c r="A84" s="17">
        <v>60</v>
      </c>
      <c r="B84" s="19" t="s">
        <v>24</v>
      </c>
      <c r="C84" s="19"/>
      <c r="D84" s="17" t="s">
        <v>40</v>
      </c>
      <c r="E84" s="58" t="s">
        <v>88</v>
      </c>
      <c r="F84" s="58"/>
      <c r="G84" s="58"/>
      <c r="H84" s="73"/>
      <c r="I84" s="58"/>
      <c r="J84" s="58"/>
      <c r="K84" s="19"/>
      <c r="L84" s="58"/>
      <c r="M84" s="58"/>
      <c r="N84" s="58"/>
      <c r="O84" s="58"/>
      <c r="P84" s="58" t="s">
        <v>167</v>
      </c>
      <c r="Q84" s="39"/>
    </row>
    <row r="85" spans="1:17" s="40" customFormat="1" ht="33.6" customHeight="1">
      <c r="A85" s="17">
        <v>17</v>
      </c>
      <c r="B85" s="17" t="s">
        <v>46</v>
      </c>
      <c r="C85" s="17" t="s">
        <v>236</v>
      </c>
      <c r="D85" s="17" t="s">
        <v>40</v>
      </c>
      <c r="E85" s="17" t="s">
        <v>110</v>
      </c>
      <c r="F85" s="17" t="s">
        <v>111</v>
      </c>
      <c r="G85" s="17" t="s">
        <v>112</v>
      </c>
      <c r="H85" s="75" t="s">
        <v>113</v>
      </c>
      <c r="I85" s="17">
        <v>38733723635</v>
      </c>
      <c r="J85" s="75" t="s">
        <v>145</v>
      </c>
      <c r="K85" s="17" t="s">
        <v>237</v>
      </c>
      <c r="L85" s="17" t="s">
        <v>238</v>
      </c>
      <c r="M85" s="51" t="s">
        <v>239</v>
      </c>
      <c r="N85" s="75" t="s">
        <v>240</v>
      </c>
      <c r="O85" s="17"/>
      <c r="P85" s="38" t="s">
        <v>96</v>
      </c>
      <c r="Q85" s="39"/>
    </row>
    <row r="86" spans="1:17" s="40" customFormat="1" ht="33.6" customHeight="1">
      <c r="A86" s="19">
        <v>18</v>
      </c>
      <c r="B86" s="19" t="s">
        <v>47</v>
      </c>
      <c r="C86" s="19" t="s">
        <v>241</v>
      </c>
      <c r="D86" s="19" t="s">
        <v>40</v>
      </c>
      <c r="E86" s="19" t="s">
        <v>222</v>
      </c>
      <c r="F86" s="19" t="s">
        <v>242</v>
      </c>
      <c r="G86" s="19" t="s">
        <v>243</v>
      </c>
      <c r="H86" s="73" t="s">
        <v>244</v>
      </c>
      <c r="I86" s="19">
        <v>38733717740</v>
      </c>
      <c r="J86" s="73" t="s">
        <v>245</v>
      </c>
      <c r="K86" s="19" t="s">
        <v>246</v>
      </c>
      <c r="L86" s="19" t="s">
        <v>247</v>
      </c>
      <c r="M86" s="19" t="s">
        <v>248</v>
      </c>
      <c r="N86" s="73" t="s">
        <v>249</v>
      </c>
      <c r="O86" s="19" t="s">
        <v>250</v>
      </c>
      <c r="P86" s="38" t="s">
        <v>96</v>
      </c>
      <c r="Q86" s="39"/>
    </row>
    <row r="87" spans="1:17" s="40" customFormat="1" ht="33.6" customHeight="1">
      <c r="A87" s="17">
        <v>55</v>
      </c>
      <c r="B87" s="19" t="s">
        <v>48</v>
      </c>
      <c r="C87" s="19" t="s">
        <v>251</v>
      </c>
      <c r="D87" s="19" t="s">
        <v>40</v>
      </c>
      <c r="E87" s="19" t="s">
        <v>199</v>
      </c>
      <c r="F87" s="58"/>
      <c r="G87" s="58"/>
      <c r="H87" s="73"/>
      <c r="I87" s="58"/>
      <c r="J87" s="58"/>
      <c r="K87" s="19" t="s">
        <v>252</v>
      </c>
      <c r="L87" s="58"/>
      <c r="M87" s="58"/>
      <c r="N87" s="58"/>
      <c r="O87" s="58"/>
      <c r="P87" s="58" t="s">
        <v>167</v>
      </c>
      <c r="Q87" s="39"/>
    </row>
    <row r="88" spans="1:17" s="40" customFormat="1" ht="33.6" customHeight="1">
      <c r="A88" s="17">
        <v>57</v>
      </c>
      <c r="B88" s="19" t="s">
        <v>49</v>
      </c>
      <c r="C88" s="19" t="s">
        <v>253</v>
      </c>
      <c r="D88" s="19" t="s">
        <v>40</v>
      </c>
      <c r="E88" s="19" t="s">
        <v>199</v>
      </c>
      <c r="F88" s="58"/>
      <c r="G88" s="58"/>
      <c r="H88" s="19"/>
      <c r="I88" s="58"/>
      <c r="J88" s="58"/>
      <c r="K88" s="19" t="s">
        <v>254</v>
      </c>
      <c r="L88" s="58"/>
      <c r="M88" s="58"/>
      <c r="N88" s="58"/>
      <c r="O88" s="58"/>
      <c r="P88" s="58" t="s">
        <v>167</v>
      </c>
      <c r="Q88" s="39"/>
    </row>
    <row r="89" spans="1:17" s="40" customFormat="1" ht="33.6" customHeight="1">
      <c r="A89" s="19">
        <v>3</v>
      </c>
      <c r="B89" s="19" t="s">
        <v>41</v>
      </c>
      <c r="C89" s="19" t="s">
        <v>255</v>
      </c>
      <c r="D89" s="19" t="s">
        <v>40</v>
      </c>
      <c r="E89" s="17" t="s">
        <v>110</v>
      </c>
      <c r="F89" s="19" t="s">
        <v>256</v>
      </c>
      <c r="G89" s="19" t="s">
        <v>257</v>
      </c>
      <c r="H89" s="73" t="s">
        <v>258</v>
      </c>
      <c r="I89" s="19">
        <v>38733226445</v>
      </c>
      <c r="J89" s="19"/>
      <c r="K89" s="19" t="s">
        <v>259</v>
      </c>
      <c r="L89" s="19" t="s">
        <v>260</v>
      </c>
      <c r="M89" s="19" t="s">
        <v>261</v>
      </c>
      <c r="N89" s="73" t="s">
        <v>262</v>
      </c>
      <c r="O89" s="73" t="s">
        <v>258</v>
      </c>
      <c r="P89" s="38" t="s">
        <v>96</v>
      </c>
      <c r="Q89" s="39"/>
    </row>
    <row r="90" spans="1:17" s="40" customFormat="1" ht="33.6" customHeight="1">
      <c r="A90" s="19">
        <v>10</v>
      </c>
      <c r="B90" s="17" t="s">
        <v>42</v>
      </c>
      <c r="C90" s="17" t="s">
        <v>263</v>
      </c>
      <c r="D90" s="17" t="s">
        <v>40</v>
      </c>
      <c r="E90" s="17" t="s">
        <v>88</v>
      </c>
      <c r="F90" s="17" t="s">
        <v>264</v>
      </c>
      <c r="G90" s="17" t="s">
        <v>265</v>
      </c>
      <c r="H90" s="75" t="s">
        <v>266</v>
      </c>
      <c r="I90" s="17">
        <v>38733562027</v>
      </c>
      <c r="J90" s="75" t="s">
        <v>267</v>
      </c>
      <c r="K90" s="17" t="s">
        <v>268</v>
      </c>
      <c r="L90" s="17"/>
      <c r="M90" s="75" t="s">
        <v>269</v>
      </c>
      <c r="N90" s="75" t="s">
        <v>269</v>
      </c>
      <c r="O90" s="17"/>
      <c r="P90" s="38" t="s">
        <v>96</v>
      </c>
      <c r="Q90" s="39"/>
    </row>
    <row r="91" spans="1:17" s="46" customFormat="1" ht="33.6" customHeight="1">
      <c r="A91" s="17">
        <v>38</v>
      </c>
      <c r="B91" s="19" t="s">
        <v>44</v>
      </c>
      <c r="C91" s="19" t="s">
        <v>270</v>
      </c>
      <c r="D91" s="19" t="s">
        <v>40</v>
      </c>
      <c r="E91" s="19" t="s">
        <v>271</v>
      </c>
      <c r="F91" s="19" t="s">
        <v>272</v>
      </c>
      <c r="G91" s="19"/>
      <c r="H91" s="73"/>
      <c r="I91" s="19"/>
      <c r="J91" s="73"/>
      <c r="K91" s="19"/>
      <c r="L91" s="19" t="s">
        <v>273</v>
      </c>
      <c r="M91" s="30" t="s">
        <v>274</v>
      </c>
      <c r="N91" s="73"/>
      <c r="O91" s="58"/>
      <c r="P91" s="58" t="s">
        <v>98</v>
      </c>
      <c r="Q91" s="45"/>
    </row>
    <row r="92" spans="1:17" s="46" customFormat="1" ht="33.6" customHeight="1">
      <c r="A92" s="17">
        <v>24</v>
      </c>
      <c r="B92" s="19" t="s">
        <v>27</v>
      </c>
      <c r="C92" s="24" t="s">
        <v>203</v>
      </c>
      <c r="D92" s="58" t="s">
        <v>40</v>
      </c>
      <c r="E92" s="24" t="s">
        <v>88</v>
      </c>
      <c r="F92" s="24" t="s">
        <v>204</v>
      </c>
      <c r="G92" s="24" t="s">
        <v>90</v>
      </c>
      <c r="H92" s="24" t="s">
        <v>91</v>
      </c>
      <c r="I92" s="62">
        <v>38733725207</v>
      </c>
      <c r="J92" s="75" t="s">
        <v>92</v>
      </c>
      <c r="K92" s="24" t="s">
        <v>205</v>
      </c>
      <c r="L92" s="24" t="s">
        <v>206</v>
      </c>
      <c r="M92" s="24" t="s">
        <v>95</v>
      </c>
      <c r="N92" s="24" t="s">
        <v>95</v>
      </c>
      <c r="O92" s="24" t="s">
        <v>95</v>
      </c>
      <c r="P92" s="38" t="s">
        <v>96</v>
      </c>
      <c r="Q92" s="45"/>
    </row>
    <row r="93" spans="1:17" s="46" customFormat="1" ht="33.6" customHeight="1">
      <c r="A93" s="17">
        <v>37</v>
      </c>
      <c r="B93" s="19" t="s">
        <v>43</v>
      </c>
      <c r="C93" s="19" t="s">
        <v>275</v>
      </c>
      <c r="D93" s="19" t="s">
        <v>40</v>
      </c>
      <c r="E93" s="19" t="s">
        <v>186</v>
      </c>
      <c r="F93" s="19" t="s">
        <v>276</v>
      </c>
      <c r="G93" s="19" t="s">
        <v>277</v>
      </c>
      <c r="H93" s="73"/>
      <c r="I93" s="19"/>
      <c r="J93" s="75"/>
      <c r="K93" s="19"/>
      <c r="L93" s="19" t="s">
        <v>278</v>
      </c>
      <c r="M93" s="19" t="s">
        <v>279</v>
      </c>
      <c r="N93" s="73"/>
      <c r="O93" s="58"/>
      <c r="P93" s="58" t="s">
        <v>98</v>
      </c>
      <c r="Q93" s="45"/>
    </row>
    <row r="94" spans="1:17" s="46" customFormat="1" ht="33.6" customHeight="1">
      <c r="A94" s="17">
        <v>43</v>
      </c>
      <c r="B94" s="19" t="s">
        <v>45</v>
      </c>
      <c r="C94" s="19"/>
      <c r="D94" s="19" t="s">
        <v>40</v>
      </c>
      <c r="E94" s="19" t="s">
        <v>271</v>
      </c>
      <c r="F94" s="19"/>
      <c r="G94" s="19"/>
      <c r="H94" s="73"/>
      <c r="I94" s="19"/>
      <c r="J94" s="75"/>
      <c r="K94" s="73" t="s">
        <v>280</v>
      </c>
      <c r="L94" s="19"/>
      <c r="M94" s="73"/>
      <c r="N94" s="73"/>
      <c r="O94" s="58"/>
      <c r="P94" s="58" t="s">
        <v>98</v>
      </c>
      <c r="Q94" s="45"/>
    </row>
    <row r="95" spans="1:17" s="46" customFormat="1" ht="33.6" customHeight="1">
      <c r="A95" s="17">
        <v>22</v>
      </c>
      <c r="B95" s="19" t="s">
        <v>26</v>
      </c>
      <c r="C95" s="24" t="s">
        <v>87</v>
      </c>
      <c r="D95" s="17" t="s">
        <v>51</v>
      </c>
      <c r="E95" s="24" t="s">
        <v>88</v>
      </c>
      <c r="F95" s="24" t="s">
        <v>89</v>
      </c>
      <c r="G95" s="24" t="s">
        <v>90</v>
      </c>
      <c r="H95" s="72" t="s">
        <v>91</v>
      </c>
      <c r="I95" s="62">
        <v>38733725207</v>
      </c>
      <c r="J95" s="72" t="s">
        <v>92</v>
      </c>
      <c r="K95" s="24" t="s">
        <v>93</v>
      </c>
      <c r="L95" s="24" t="s">
        <v>94</v>
      </c>
      <c r="M95" s="24" t="s">
        <v>95</v>
      </c>
      <c r="N95" s="24" t="s">
        <v>95</v>
      </c>
      <c r="O95" s="24" t="s">
        <v>95</v>
      </c>
      <c r="P95" s="38" t="s">
        <v>96</v>
      </c>
      <c r="Q95" s="45"/>
    </row>
    <row r="96" spans="1:17" s="53" customFormat="1" ht="33.6" customHeight="1">
      <c r="A96" s="17">
        <v>2</v>
      </c>
      <c r="B96" s="19" t="s">
        <v>4</v>
      </c>
      <c r="C96" s="19" t="s">
        <v>99</v>
      </c>
      <c r="D96" s="17" t="s">
        <v>51</v>
      </c>
      <c r="E96" s="19" t="s">
        <v>100</v>
      </c>
      <c r="F96" s="19" t="s">
        <v>101</v>
      </c>
      <c r="G96" s="19" t="s">
        <v>102</v>
      </c>
      <c r="H96" s="73" t="s">
        <v>103</v>
      </c>
      <c r="I96" s="17" t="s">
        <v>104</v>
      </c>
      <c r="J96" s="74" t="s">
        <v>105</v>
      </c>
      <c r="K96" s="19" t="s">
        <v>106</v>
      </c>
      <c r="L96" s="19" t="s">
        <v>207</v>
      </c>
      <c r="M96" s="19" t="s">
        <v>108</v>
      </c>
      <c r="N96" s="19"/>
      <c r="O96" s="19"/>
      <c r="P96" s="38" t="s">
        <v>96</v>
      </c>
      <c r="Q96" s="52"/>
    </row>
    <row r="97" spans="1:17" s="53" customFormat="1" ht="33.6" customHeight="1">
      <c r="A97" s="17">
        <v>13</v>
      </c>
      <c r="B97" s="17" t="s">
        <v>11</v>
      </c>
      <c r="C97" s="17" t="s">
        <v>109</v>
      </c>
      <c r="D97" s="17" t="s">
        <v>51</v>
      </c>
      <c r="E97" s="17" t="s">
        <v>110</v>
      </c>
      <c r="F97" s="17" t="s">
        <v>111</v>
      </c>
      <c r="G97" s="17" t="s">
        <v>112</v>
      </c>
      <c r="H97" s="75" t="s">
        <v>113</v>
      </c>
      <c r="I97" s="17">
        <v>38733723640</v>
      </c>
      <c r="J97" s="75" t="s">
        <v>114</v>
      </c>
      <c r="K97" s="17" t="s">
        <v>115</v>
      </c>
      <c r="L97" s="17"/>
      <c r="M97" s="75" t="s">
        <v>116</v>
      </c>
      <c r="N97" s="75" t="s">
        <v>116</v>
      </c>
      <c r="O97" s="17"/>
      <c r="P97" s="38" t="s">
        <v>96</v>
      </c>
      <c r="Q97" s="52"/>
    </row>
    <row r="98" spans="1:17" s="53" customFormat="1" ht="33.6" customHeight="1">
      <c r="A98" s="17">
        <v>25</v>
      </c>
      <c r="B98" s="19" t="s">
        <v>28</v>
      </c>
      <c r="C98" s="19" t="s">
        <v>117</v>
      </c>
      <c r="D98" s="17" t="s">
        <v>51</v>
      </c>
      <c r="E98" s="19" t="s">
        <v>110</v>
      </c>
      <c r="F98" s="19" t="s">
        <v>118</v>
      </c>
      <c r="G98" s="19" t="s">
        <v>119</v>
      </c>
      <c r="H98" s="73" t="s">
        <v>120</v>
      </c>
      <c r="I98" s="19">
        <v>38733209044</v>
      </c>
      <c r="J98" s="19" t="s">
        <v>121</v>
      </c>
      <c r="K98" s="19" t="s">
        <v>122</v>
      </c>
      <c r="L98" s="19"/>
      <c r="M98" s="19" t="s">
        <v>123</v>
      </c>
      <c r="N98" s="19"/>
      <c r="O98" s="19"/>
      <c r="P98" s="38" t="s">
        <v>96</v>
      </c>
      <c r="Q98" s="52"/>
    </row>
    <row r="99" spans="1:17" s="53" customFormat="1" ht="33.6" customHeight="1">
      <c r="A99" s="17">
        <v>4</v>
      </c>
      <c r="B99" s="22" t="s">
        <v>5</v>
      </c>
      <c r="C99" s="22" t="s">
        <v>124</v>
      </c>
      <c r="D99" s="17" t="s">
        <v>51</v>
      </c>
      <c r="E99" s="22" t="s">
        <v>110</v>
      </c>
      <c r="F99" s="22" t="s">
        <v>125</v>
      </c>
      <c r="G99" s="22" t="s">
        <v>126</v>
      </c>
      <c r="H99" s="75" t="s">
        <v>127</v>
      </c>
      <c r="I99" s="19">
        <v>38733492125</v>
      </c>
      <c r="J99" s="76" t="s">
        <v>128</v>
      </c>
      <c r="K99" s="22" t="s">
        <v>129</v>
      </c>
      <c r="L99" s="22" t="s">
        <v>130</v>
      </c>
      <c r="M99" s="22" t="s">
        <v>131</v>
      </c>
      <c r="N99" s="76" t="s">
        <v>132</v>
      </c>
      <c r="O99" s="22" t="s">
        <v>133</v>
      </c>
      <c r="P99" s="38" t="s">
        <v>96</v>
      </c>
      <c r="Q99" s="52"/>
    </row>
    <row r="100" spans="1:17" s="53" customFormat="1" ht="33.6" customHeight="1">
      <c r="A100" s="17">
        <v>7</v>
      </c>
      <c r="B100" s="19" t="s">
        <v>8</v>
      </c>
      <c r="C100" s="24" t="s">
        <v>134</v>
      </c>
      <c r="D100" s="17" t="s">
        <v>51</v>
      </c>
      <c r="E100" s="24" t="s">
        <v>88</v>
      </c>
      <c r="F100" s="24" t="s">
        <v>135</v>
      </c>
      <c r="G100" s="24" t="s">
        <v>90</v>
      </c>
      <c r="H100" s="72" t="s">
        <v>91</v>
      </c>
      <c r="I100" s="62">
        <v>38733725207</v>
      </c>
      <c r="J100" s="72" t="s">
        <v>92</v>
      </c>
      <c r="K100" s="24" t="s">
        <v>136</v>
      </c>
      <c r="L100" s="24" t="s">
        <v>137</v>
      </c>
      <c r="M100" s="24" t="s">
        <v>95</v>
      </c>
      <c r="N100" s="24" t="s">
        <v>95</v>
      </c>
      <c r="O100" s="24" t="s">
        <v>95</v>
      </c>
      <c r="P100" s="38" t="s">
        <v>96</v>
      </c>
      <c r="Q100" s="52"/>
    </row>
    <row r="101" spans="1:17" s="55" customFormat="1" ht="33.6" customHeight="1">
      <c r="A101" s="17">
        <v>8</v>
      </c>
      <c r="B101" s="19" t="s">
        <v>9</v>
      </c>
      <c r="C101" s="24" t="s">
        <v>138</v>
      </c>
      <c r="D101" s="17" t="s">
        <v>51</v>
      </c>
      <c r="E101" s="24" t="s">
        <v>88</v>
      </c>
      <c r="F101" s="24" t="s">
        <v>89</v>
      </c>
      <c r="G101" s="24" t="s">
        <v>90</v>
      </c>
      <c r="H101" s="72" t="s">
        <v>91</v>
      </c>
      <c r="I101" s="62">
        <v>38733725207</v>
      </c>
      <c r="J101" s="72" t="s">
        <v>92</v>
      </c>
      <c r="K101" s="24" t="s">
        <v>139</v>
      </c>
      <c r="L101" s="24" t="s">
        <v>140</v>
      </c>
      <c r="M101" s="24" t="s">
        <v>95</v>
      </c>
      <c r="N101" s="24" t="s">
        <v>95</v>
      </c>
      <c r="O101" s="24" t="s">
        <v>95</v>
      </c>
      <c r="P101" s="38" t="s">
        <v>96</v>
      </c>
      <c r="Q101" s="54"/>
    </row>
    <row r="102" spans="1:17" s="55" customFormat="1" ht="33.6" customHeight="1">
      <c r="A102" s="17">
        <v>9</v>
      </c>
      <c r="B102" s="19" t="s">
        <v>10</v>
      </c>
      <c r="C102" s="24" t="s">
        <v>141</v>
      </c>
      <c r="D102" s="17" t="s">
        <v>51</v>
      </c>
      <c r="E102" s="24" t="s">
        <v>88</v>
      </c>
      <c r="F102" s="24" t="s">
        <v>89</v>
      </c>
      <c r="G102" s="24" t="s">
        <v>90</v>
      </c>
      <c r="H102" s="72" t="s">
        <v>91</v>
      </c>
      <c r="I102" s="62">
        <v>38733725207</v>
      </c>
      <c r="J102" s="72" t="s">
        <v>92</v>
      </c>
      <c r="K102" s="25" t="s">
        <v>142</v>
      </c>
      <c r="L102" s="24" t="s">
        <v>143</v>
      </c>
      <c r="M102" s="24" t="s">
        <v>95</v>
      </c>
      <c r="N102" s="24" t="s">
        <v>95</v>
      </c>
      <c r="O102" s="24" t="s">
        <v>95</v>
      </c>
      <c r="P102" s="38" t="s">
        <v>96</v>
      </c>
      <c r="Q102" s="54"/>
    </row>
    <row r="103" spans="1:17" s="55" customFormat="1" ht="33.6" customHeight="1">
      <c r="A103" s="17">
        <v>15</v>
      </c>
      <c r="B103" s="17" t="s">
        <v>17</v>
      </c>
      <c r="C103" s="17" t="s">
        <v>144</v>
      </c>
      <c r="D103" s="17" t="s">
        <v>51</v>
      </c>
      <c r="E103" s="17" t="s">
        <v>110</v>
      </c>
      <c r="F103" s="17" t="s">
        <v>111</v>
      </c>
      <c r="G103" s="17" t="s">
        <v>112</v>
      </c>
      <c r="H103" s="75" t="s">
        <v>113</v>
      </c>
      <c r="I103" s="17">
        <v>38733723635</v>
      </c>
      <c r="J103" s="75" t="s">
        <v>145</v>
      </c>
      <c r="K103" s="17" t="s">
        <v>146</v>
      </c>
      <c r="L103" s="17" t="s">
        <v>147</v>
      </c>
      <c r="M103" s="75" t="s">
        <v>148</v>
      </c>
      <c r="N103" s="75" t="s">
        <v>148</v>
      </c>
      <c r="O103" s="17"/>
      <c r="P103" s="38" t="s">
        <v>96</v>
      </c>
      <c r="Q103" s="54"/>
    </row>
    <row r="104" spans="1:17" s="55" customFormat="1" ht="33.6" customHeight="1">
      <c r="A104" s="17">
        <v>19</v>
      </c>
      <c r="B104" s="17" t="s">
        <v>20</v>
      </c>
      <c r="C104" s="17" t="s">
        <v>149</v>
      </c>
      <c r="D104" s="17" t="s">
        <v>51</v>
      </c>
      <c r="E104" s="17" t="s">
        <v>110</v>
      </c>
      <c r="F104" s="17" t="s">
        <v>111</v>
      </c>
      <c r="G104" s="17" t="s">
        <v>112</v>
      </c>
      <c r="H104" s="75" t="s">
        <v>113</v>
      </c>
      <c r="I104" s="17">
        <v>38733723635</v>
      </c>
      <c r="J104" s="75" t="s">
        <v>145</v>
      </c>
      <c r="K104" s="17" t="s">
        <v>146</v>
      </c>
      <c r="L104" s="17" t="s">
        <v>150</v>
      </c>
      <c r="M104" s="75" t="s">
        <v>151</v>
      </c>
      <c r="N104" s="75" t="s">
        <v>151</v>
      </c>
      <c r="O104" s="17"/>
      <c r="P104" s="38" t="s">
        <v>96</v>
      </c>
      <c r="Q104" s="54"/>
    </row>
    <row r="105" spans="1:17" s="55" customFormat="1" ht="33.6" customHeight="1">
      <c r="A105" s="17">
        <v>20</v>
      </c>
      <c r="B105" s="17" t="s">
        <v>21</v>
      </c>
      <c r="C105" s="17" t="s">
        <v>152</v>
      </c>
      <c r="D105" s="17" t="s">
        <v>51</v>
      </c>
      <c r="E105" s="17" t="s">
        <v>110</v>
      </c>
      <c r="F105" s="17" t="s">
        <v>111</v>
      </c>
      <c r="G105" s="17" t="s">
        <v>112</v>
      </c>
      <c r="H105" s="75" t="s">
        <v>113</v>
      </c>
      <c r="I105" s="17">
        <v>38733723635</v>
      </c>
      <c r="J105" s="75" t="s">
        <v>145</v>
      </c>
      <c r="K105" s="17" t="s">
        <v>146</v>
      </c>
      <c r="L105" s="17" t="s">
        <v>153</v>
      </c>
      <c r="M105" s="75" t="s">
        <v>154</v>
      </c>
      <c r="N105" s="75" t="s">
        <v>154</v>
      </c>
      <c r="O105" s="17"/>
      <c r="P105" s="38" t="s">
        <v>96</v>
      </c>
      <c r="Q105" s="54"/>
    </row>
    <row r="106" spans="1:17" s="46" customFormat="1" ht="33.6" customHeight="1">
      <c r="A106" s="17">
        <v>21</v>
      </c>
      <c r="B106" s="17" t="s">
        <v>25</v>
      </c>
      <c r="C106" s="17" t="s">
        <v>25</v>
      </c>
      <c r="D106" s="17" t="s">
        <v>51</v>
      </c>
      <c r="E106" s="17" t="s">
        <v>110</v>
      </c>
      <c r="F106" s="17" t="s">
        <v>111</v>
      </c>
      <c r="G106" s="17" t="s">
        <v>112</v>
      </c>
      <c r="H106" s="75" t="s">
        <v>113</v>
      </c>
      <c r="I106" s="17">
        <v>38733723635</v>
      </c>
      <c r="J106" s="75" t="s">
        <v>145</v>
      </c>
      <c r="K106" s="17" t="s">
        <v>155</v>
      </c>
      <c r="L106" s="17" t="s">
        <v>156</v>
      </c>
      <c r="M106" s="75" t="s">
        <v>157</v>
      </c>
      <c r="N106" s="75" t="s">
        <v>158</v>
      </c>
      <c r="O106" s="17"/>
      <c r="P106" s="38" t="s">
        <v>96</v>
      </c>
      <c r="Q106" s="45"/>
    </row>
    <row r="107" spans="1:17" s="46" customFormat="1" ht="33.6" customHeight="1">
      <c r="A107" s="17">
        <v>33</v>
      </c>
      <c r="B107" s="19" t="s">
        <v>30</v>
      </c>
      <c r="C107" s="19" t="s">
        <v>159</v>
      </c>
      <c r="D107" s="17" t="s">
        <v>51</v>
      </c>
      <c r="E107" s="19" t="s">
        <v>88</v>
      </c>
      <c r="F107" s="19"/>
      <c r="G107" s="19"/>
      <c r="H107" s="73"/>
      <c r="I107" s="19"/>
      <c r="J107" s="73"/>
      <c r="K107" s="19" t="s">
        <v>160</v>
      </c>
      <c r="L107" s="19"/>
      <c r="M107" s="73"/>
      <c r="N107" s="73"/>
      <c r="O107" s="58"/>
      <c r="P107" s="58" t="s">
        <v>98</v>
      </c>
      <c r="Q107" s="45"/>
    </row>
    <row r="108" spans="1:17" s="46" customFormat="1" ht="33.6" customHeight="1">
      <c r="A108" s="17">
        <v>49</v>
      </c>
      <c r="B108" s="19" t="s">
        <v>29</v>
      </c>
      <c r="C108" s="19" t="s">
        <v>161</v>
      </c>
      <c r="D108" s="17" t="s">
        <v>51</v>
      </c>
      <c r="E108" s="19" t="s">
        <v>88</v>
      </c>
      <c r="F108" s="19" t="s">
        <v>97</v>
      </c>
      <c r="G108" s="19"/>
      <c r="H108" s="73"/>
      <c r="I108" s="19"/>
      <c r="J108" s="73"/>
      <c r="K108" s="19" t="s">
        <v>162</v>
      </c>
      <c r="L108" s="19"/>
      <c r="M108" s="73"/>
      <c r="N108" s="73"/>
      <c r="O108" s="58"/>
      <c r="P108" s="58" t="s">
        <v>98</v>
      </c>
      <c r="Q108" s="45"/>
    </row>
    <row r="109" spans="1:17" s="46" customFormat="1" ht="33.6" customHeight="1">
      <c r="A109" s="17">
        <v>50</v>
      </c>
      <c r="B109" s="19" t="s">
        <v>31</v>
      </c>
      <c r="C109" s="19" t="s">
        <v>163</v>
      </c>
      <c r="D109" s="17" t="s">
        <v>51</v>
      </c>
      <c r="E109" s="19" t="s">
        <v>110</v>
      </c>
      <c r="F109" s="19" t="s">
        <v>164</v>
      </c>
      <c r="G109" s="19"/>
      <c r="H109" s="73"/>
      <c r="I109" s="19"/>
      <c r="J109" s="73"/>
      <c r="K109" s="19"/>
      <c r="L109" s="19"/>
      <c r="M109" s="73"/>
      <c r="N109" s="73"/>
      <c r="O109" s="58"/>
      <c r="P109" s="58" t="s">
        <v>98</v>
      </c>
      <c r="Q109" s="45"/>
    </row>
    <row r="110" spans="1:17" s="46" customFormat="1" ht="33.6" customHeight="1">
      <c r="A110" s="17">
        <v>53</v>
      </c>
      <c r="B110" s="19" t="s">
        <v>19</v>
      </c>
      <c r="C110" s="19" t="s">
        <v>165</v>
      </c>
      <c r="D110" s="17" t="s">
        <v>51</v>
      </c>
      <c r="E110" s="19" t="s">
        <v>110</v>
      </c>
      <c r="F110" s="58"/>
      <c r="G110" s="58"/>
      <c r="H110" s="58"/>
      <c r="I110" s="58"/>
      <c r="J110" s="58"/>
      <c r="K110" s="19" t="s">
        <v>166</v>
      </c>
      <c r="L110" s="58"/>
      <c r="M110" s="58"/>
      <c r="N110" s="58"/>
      <c r="O110" s="58"/>
      <c r="P110" s="58" t="s">
        <v>167</v>
      </c>
      <c r="Q110" s="45"/>
    </row>
    <row r="111" spans="1:17" s="46" customFormat="1" ht="33.6" customHeight="1">
      <c r="A111" s="17">
        <v>31</v>
      </c>
      <c r="B111" s="19" t="s">
        <v>3</v>
      </c>
      <c r="C111" s="19" t="s">
        <v>168</v>
      </c>
      <c r="D111" s="17" t="s">
        <v>51</v>
      </c>
      <c r="E111" s="19" t="s">
        <v>88</v>
      </c>
      <c r="F111" s="19" t="s">
        <v>169</v>
      </c>
      <c r="G111" s="19" t="s">
        <v>170</v>
      </c>
      <c r="H111" s="73"/>
      <c r="I111" s="19">
        <v>38733285261</v>
      </c>
      <c r="J111" s="73"/>
      <c r="K111" s="19"/>
      <c r="L111" s="19" t="s">
        <v>171</v>
      </c>
      <c r="M111" s="73"/>
      <c r="N111" s="73"/>
      <c r="O111" s="58"/>
      <c r="P111" s="58" t="s">
        <v>98</v>
      </c>
      <c r="Q111" s="45"/>
    </row>
    <row r="112" spans="1:17" s="46" customFormat="1" ht="33.6" customHeight="1">
      <c r="A112" s="17">
        <v>34</v>
      </c>
      <c r="B112" s="19" t="s">
        <v>6</v>
      </c>
      <c r="C112" s="19" t="s">
        <v>172</v>
      </c>
      <c r="D112" s="17" t="s">
        <v>51</v>
      </c>
      <c r="E112" s="19" t="s">
        <v>110</v>
      </c>
      <c r="F112" s="19" t="s">
        <v>173</v>
      </c>
      <c r="G112" s="19" t="s">
        <v>174</v>
      </c>
      <c r="H112" s="73" t="s">
        <v>175</v>
      </c>
      <c r="I112" s="64">
        <v>387733637384</v>
      </c>
      <c r="J112" s="73" t="s">
        <v>176</v>
      </c>
      <c r="K112" s="19" t="s">
        <v>177</v>
      </c>
      <c r="L112" s="19" t="s">
        <v>178</v>
      </c>
      <c r="M112" s="19" t="s">
        <v>179</v>
      </c>
      <c r="N112" s="77" t="s">
        <v>180</v>
      </c>
      <c r="O112" s="58"/>
      <c r="P112" s="58" t="s">
        <v>98</v>
      </c>
      <c r="Q112" s="45"/>
    </row>
    <row r="113" spans="1:17" s="46" customFormat="1" ht="33.6" customHeight="1">
      <c r="A113" s="17">
        <v>36</v>
      </c>
      <c r="B113" s="19" t="s">
        <v>7</v>
      </c>
      <c r="C113" s="19" t="s">
        <v>181</v>
      </c>
      <c r="D113" s="17" t="s">
        <v>51</v>
      </c>
      <c r="E113" s="19" t="s">
        <v>88</v>
      </c>
      <c r="F113" s="19" t="s">
        <v>173</v>
      </c>
      <c r="G113" s="19" t="s">
        <v>174</v>
      </c>
      <c r="H113" s="77" t="s">
        <v>180</v>
      </c>
      <c r="I113" s="64">
        <v>387733637384</v>
      </c>
      <c r="J113" s="73" t="s">
        <v>176</v>
      </c>
      <c r="K113" s="19" t="s">
        <v>182</v>
      </c>
      <c r="L113" s="77" t="s">
        <v>180</v>
      </c>
      <c r="M113" s="77" t="s">
        <v>180</v>
      </c>
      <c r="N113" s="77" t="s">
        <v>180</v>
      </c>
      <c r="O113" s="58"/>
      <c r="P113" s="58" t="s">
        <v>98</v>
      </c>
      <c r="Q113" s="45"/>
    </row>
    <row r="114" spans="1:17" s="46" customFormat="1" ht="33.6" customHeight="1">
      <c r="A114" s="17">
        <v>39</v>
      </c>
      <c r="B114" s="19" t="s">
        <v>12</v>
      </c>
      <c r="C114" s="19" t="s">
        <v>183</v>
      </c>
      <c r="D114" s="17" t="s">
        <v>51</v>
      </c>
      <c r="E114" s="19" t="s">
        <v>88</v>
      </c>
      <c r="F114" s="19" t="s">
        <v>184</v>
      </c>
      <c r="G114" s="19"/>
      <c r="H114" s="73"/>
      <c r="I114" s="19"/>
      <c r="J114" s="73"/>
      <c r="K114" s="19"/>
      <c r="L114" s="19"/>
      <c r="M114" s="73"/>
      <c r="N114" s="73"/>
      <c r="O114" s="58"/>
      <c r="P114" s="58" t="s">
        <v>98</v>
      </c>
      <c r="Q114" s="45"/>
    </row>
    <row r="115" spans="1:17" s="46" customFormat="1" ht="33.6" customHeight="1">
      <c r="A115" s="17">
        <v>40</v>
      </c>
      <c r="B115" s="19" t="s">
        <v>13</v>
      </c>
      <c r="C115" s="19" t="s">
        <v>185</v>
      </c>
      <c r="D115" s="17" t="s">
        <v>51</v>
      </c>
      <c r="E115" s="19" t="s">
        <v>186</v>
      </c>
      <c r="F115" s="19" t="s">
        <v>187</v>
      </c>
      <c r="G115" s="19" t="s">
        <v>188</v>
      </c>
      <c r="H115" s="73" t="s">
        <v>189</v>
      </c>
      <c r="I115" s="19">
        <v>38733653093</v>
      </c>
      <c r="J115" s="73"/>
      <c r="K115" s="19"/>
      <c r="L115" s="19"/>
      <c r="M115" s="19"/>
      <c r="N115" s="73"/>
      <c r="O115" s="58"/>
      <c r="P115" s="58" t="s">
        <v>98</v>
      </c>
      <c r="Q115" s="45"/>
    </row>
    <row r="116" spans="1:17" s="46" customFormat="1" ht="51.6" customHeight="1">
      <c r="A116" s="17">
        <v>41</v>
      </c>
      <c r="B116" s="19" t="s">
        <v>14</v>
      </c>
      <c r="C116" s="19" t="s">
        <v>190</v>
      </c>
      <c r="D116" s="17" t="s">
        <v>51</v>
      </c>
      <c r="E116" s="19" t="s">
        <v>191</v>
      </c>
      <c r="F116" s="19" t="s">
        <v>192</v>
      </c>
      <c r="G116" s="19"/>
      <c r="H116" s="73"/>
      <c r="I116" s="19"/>
      <c r="J116" s="73"/>
      <c r="K116" s="19" t="s">
        <v>193</v>
      </c>
      <c r="L116" s="19"/>
      <c r="M116" s="19" t="s">
        <v>194</v>
      </c>
      <c r="N116" s="73"/>
      <c r="O116" s="58"/>
      <c r="P116" s="58" t="s">
        <v>98</v>
      </c>
      <c r="Q116" s="45"/>
    </row>
    <row r="117" spans="1:17" s="46" customFormat="1" ht="51.6" customHeight="1">
      <c r="A117" s="17">
        <v>42</v>
      </c>
      <c r="B117" s="19" t="s">
        <v>15</v>
      </c>
      <c r="C117" s="19"/>
      <c r="D117" s="17" t="s">
        <v>51</v>
      </c>
      <c r="E117" s="19" t="s">
        <v>88</v>
      </c>
      <c r="F117" s="19" t="s">
        <v>97</v>
      </c>
      <c r="G117" s="19"/>
      <c r="H117" s="73"/>
      <c r="I117" s="19"/>
      <c r="J117" s="73"/>
      <c r="K117" s="19"/>
      <c r="L117" s="19"/>
      <c r="M117" s="73"/>
      <c r="N117" s="73"/>
      <c r="O117" s="58"/>
      <c r="P117" s="58" t="s">
        <v>98</v>
      </c>
      <c r="Q117" s="45"/>
    </row>
    <row r="118" spans="1:17" s="46" customFormat="1" ht="51.6" customHeight="1">
      <c r="A118" s="17">
        <v>52</v>
      </c>
      <c r="B118" s="19" t="s">
        <v>16</v>
      </c>
      <c r="C118" s="19" t="s">
        <v>195</v>
      </c>
      <c r="D118" s="17" t="s">
        <v>51</v>
      </c>
      <c r="E118" s="19" t="s">
        <v>110</v>
      </c>
      <c r="F118" s="58"/>
      <c r="G118" s="58"/>
      <c r="H118" s="78" t="s">
        <v>196</v>
      </c>
      <c r="I118" s="58"/>
      <c r="J118" s="58"/>
      <c r="K118" s="19" t="s">
        <v>197</v>
      </c>
      <c r="L118" s="58"/>
      <c r="M118" s="58"/>
      <c r="N118" s="58"/>
      <c r="O118" s="58"/>
      <c r="P118" s="58" t="s">
        <v>167</v>
      </c>
      <c r="Q118" s="45"/>
    </row>
    <row r="119" spans="1:17" s="46" customFormat="1" ht="51.6" customHeight="1">
      <c r="A119" s="17">
        <v>58</v>
      </c>
      <c r="B119" s="19" t="s">
        <v>22</v>
      </c>
      <c r="C119" s="19" t="s">
        <v>198</v>
      </c>
      <c r="D119" s="17" t="s">
        <v>51</v>
      </c>
      <c r="E119" s="58" t="s">
        <v>199</v>
      </c>
      <c r="F119" s="58"/>
      <c r="G119" s="58"/>
      <c r="H119" s="19"/>
      <c r="I119" s="58"/>
      <c r="J119" s="58"/>
      <c r="K119" s="19" t="s">
        <v>200</v>
      </c>
      <c r="L119" s="58"/>
      <c r="M119" s="58"/>
      <c r="N119" s="58"/>
      <c r="O119" s="58"/>
      <c r="P119" s="58" t="s">
        <v>167</v>
      </c>
      <c r="Q119" s="45"/>
    </row>
    <row r="120" spans="1:17" s="46" customFormat="1" ht="51.6" customHeight="1">
      <c r="A120" s="17">
        <v>59</v>
      </c>
      <c r="B120" s="20" t="s">
        <v>23</v>
      </c>
      <c r="C120" s="20" t="s">
        <v>201</v>
      </c>
      <c r="D120" s="17" t="s">
        <v>51</v>
      </c>
      <c r="E120" s="58" t="s">
        <v>110</v>
      </c>
      <c r="F120" s="58"/>
      <c r="G120" s="58"/>
      <c r="H120" s="19"/>
      <c r="I120" s="58"/>
      <c r="J120" s="58"/>
      <c r="K120" s="19" t="s">
        <v>202</v>
      </c>
      <c r="L120" s="58"/>
      <c r="M120" s="58"/>
      <c r="N120" s="58"/>
      <c r="O120" s="58"/>
      <c r="P120" s="58" t="s">
        <v>167</v>
      </c>
      <c r="Q120" s="45"/>
    </row>
    <row r="121" spans="1:17" s="46" customFormat="1" ht="33.6" customHeight="1">
      <c r="A121" s="17">
        <v>60</v>
      </c>
      <c r="B121" s="19" t="s">
        <v>24</v>
      </c>
      <c r="C121" s="19"/>
      <c r="D121" s="17" t="s">
        <v>51</v>
      </c>
      <c r="E121" s="58" t="s">
        <v>88</v>
      </c>
      <c r="F121" s="58"/>
      <c r="G121" s="58"/>
      <c r="H121" s="73"/>
      <c r="I121" s="58"/>
      <c r="J121" s="58"/>
      <c r="K121" s="19"/>
      <c r="L121" s="58"/>
      <c r="M121" s="58"/>
      <c r="N121" s="58"/>
      <c r="O121" s="58"/>
      <c r="P121" s="58" t="s">
        <v>167</v>
      </c>
      <c r="Q121" s="45"/>
    </row>
    <row r="122" spans="1:17" s="46" customFormat="1" ht="33.6" customHeight="1">
      <c r="A122" s="17">
        <v>11</v>
      </c>
      <c r="B122" s="19" t="s">
        <v>34</v>
      </c>
      <c r="C122" s="24" t="s">
        <v>208</v>
      </c>
      <c r="D122" s="19" t="s">
        <v>51</v>
      </c>
      <c r="E122" s="24" t="s">
        <v>88</v>
      </c>
      <c r="F122" s="24" t="s">
        <v>89</v>
      </c>
      <c r="G122" s="24" t="s">
        <v>90</v>
      </c>
      <c r="H122" s="72" t="s">
        <v>91</v>
      </c>
      <c r="I122" s="62">
        <v>38733725207</v>
      </c>
      <c r="J122" s="72" t="s">
        <v>92</v>
      </c>
      <c r="K122" s="24" t="s">
        <v>209</v>
      </c>
      <c r="L122" s="24" t="s">
        <v>210</v>
      </c>
      <c r="M122" s="24" t="s">
        <v>95</v>
      </c>
      <c r="N122" s="24" t="s">
        <v>95</v>
      </c>
      <c r="O122" s="24" t="s">
        <v>95</v>
      </c>
      <c r="P122" s="38" t="s">
        <v>96</v>
      </c>
      <c r="Q122" s="45"/>
    </row>
    <row r="123" spans="1:17" s="46" customFormat="1" ht="33.6" customHeight="1">
      <c r="A123" s="17">
        <v>12</v>
      </c>
      <c r="B123" s="19" t="s">
        <v>35</v>
      </c>
      <c r="C123" s="19" t="s">
        <v>211</v>
      </c>
      <c r="D123" s="19" t="s">
        <v>51</v>
      </c>
      <c r="E123" s="17" t="s">
        <v>88</v>
      </c>
      <c r="F123" s="19" t="s">
        <v>212</v>
      </c>
      <c r="G123" s="19" t="s">
        <v>213</v>
      </c>
      <c r="H123" s="73" t="s">
        <v>214</v>
      </c>
      <c r="I123" s="19">
        <v>38733291190</v>
      </c>
      <c r="J123" s="19" t="s">
        <v>215</v>
      </c>
      <c r="K123" s="19" t="s">
        <v>216</v>
      </c>
      <c r="L123" s="19" t="s">
        <v>217</v>
      </c>
      <c r="M123" s="19" t="s">
        <v>218</v>
      </c>
      <c r="N123" s="19" t="s">
        <v>219</v>
      </c>
      <c r="O123" s="19" t="s">
        <v>220</v>
      </c>
      <c r="P123" s="38" t="s">
        <v>96</v>
      </c>
      <c r="Q123" s="45"/>
    </row>
    <row r="124" spans="1:17" s="46" customFormat="1" ht="33.6" customHeight="1">
      <c r="A124" s="17">
        <v>29</v>
      </c>
      <c r="B124" s="27" t="s">
        <v>38</v>
      </c>
      <c r="C124" s="19" t="s">
        <v>221</v>
      </c>
      <c r="D124" s="19" t="s">
        <v>51</v>
      </c>
      <c r="E124" s="27" t="s">
        <v>222</v>
      </c>
      <c r="F124" s="19" t="s">
        <v>173</v>
      </c>
      <c r="G124" s="19" t="s">
        <v>223</v>
      </c>
      <c r="H124" s="73" t="s">
        <v>224</v>
      </c>
      <c r="I124" s="19">
        <v>38733775723</v>
      </c>
      <c r="J124" s="73" t="s">
        <v>225</v>
      </c>
      <c r="K124" s="19" t="s">
        <v>226</v>
      </c>
      <c r="L124" s="27" t="s">
        <v>227</v>
      </c>
      <c r="M124" s="19" t="s">
        <v>228</v>
      </c>
      <c r="N124" s="73" t="s">
        <v>229</v>
      </c>
      <c r="O124" s="19"/>
      <c r="P124" s="38" t="s">
        <v>96</v>
      </c>
      <c r="Q124" s="45"/>
    </row>
    <row r="125" spans="1:17" s="46" customFormat="1" ht="33.6" customHeight="1">
      <c r="A125" s="17">
        <v>47</v>
      </c>
      <c r="B125" s="19" t="s">
        <v>36</v>
      </c>
      <c r="C125" s="19" t="s">
        <v>232</v>
      </c>
      <c r="D125" s="19" t="s">
        <v>51</v>
      </c>
      <c r="E125" s="19" t="s">
        <v>88</v>
      </c>
      <c r="F125" s="19" t="s">
        <v>233</v>
      </c>
      <c r="G125" s="19" t="s">
        <v>234</v>
      </c>
      <c r="H125" s="73" t="s">
        <v>235</v>
      </c>
      <c r="I125" s="19">
        <v>38733214249</v>
      </c>
      <c r="J125" s="73"/>
      <c r="K125" s="19"/>
      <c r="L125" s="19"/>
      <c r="M125" s="73" t="s">
        <v>235</v>
      </c>
      <c r="N125" s="73" t="s">
        <v>235</v>
      </c>
      <c r="O125" s="58"/>
      <c r="P125" s="58" t="s">
        <v>98</v>
      </c>
      <c r="Q125" s="45"/>
    </row>
    <row r="126" spans="1:17" s="46" customFormat="1" ht="33.6" customHeight="1">
      <c r="A126" s="17">
        <v>14</v>
      </c>
      <c r="B126" s="17" t="s">
        <v>53</v>
      </c>
      <c r="C126" s="17" t="s">
        <v>281</v>
      </c>
      <c r="D126" s="17" t="s">
        <v>51</v>
      </c>
      <c r="E126" s="17" t="s">
        <v>110</v>
      </c>
      <c r="F126" s="17" t="s">
        <v>111</v>
      </c>
      <c r="G126" s="17" t="s">
        <v>112</v>
      </c>
      <c r="H126" s="75" t="s">
        <v>113</v>
      </c>
      <c r="I126" s="17">
        <v>38733723635</v>
      </c>
      <c r="J126" s="75" t="s">
        <v>145</v>
      </c>
      <c r="K126" s="17" t="s">
        <v>146</v>
      </c>
      <c r="L126" s="17"/>
      <c r="M126" s="75" t="s">
        <v>282</v>
      </c>
      <c r="N126" s="75" t="s">
        <v>282</v>
      </c>
      <c r="O126" s="17"/>
      <c r="P126" s="38" t="s">
        <v>96</v>
      </c>
      <c r="Q126" s="45"/>
    </row>
    <row r="127" spans="1:17" s="46" customFormat="1" ht="33.6" customHeight="1">
      <c r="A127" s="17">
        <v>29</v>
      </c>
      <c r="B127" s="27" t="s">
        <v>38</v>
      </c>
      <c r="C127" s="19" t="s">
        <v>283</v>
      </c>
      <c r="D127" s="27" t="s">
        <v>51</v>
      </c>
      <c r="E127" s="27" t="s">
        <v>222</v>
      </c>
      <c r="F127" s="19" t="s">
        <v>284</v>
      </c>
      <c r="G127" s="17" t="s">
        <v>285</v>
      </c>
      <c r="H127" s="79" t="s">
        <v>286</v>
      </c>
      <c r="I127" s="19">
        <v>38733562472</v>
      </c>
      <c r="J127" s="73" t="s">
        <v>287</v>
      </c>
      <c r="K127" s="19" t="s">
        <v>226</v>
      </c>
      <c r="L127" s="27" t="s">
        <v>227</v>
      </c>
      <c r="M127" s="19" t="s">
        <v>288</v>
      </c>
      <c r="N127" s="73" t="s">
        <v>289</v>
      </c>
      <c r="O127" s="19"/>
      <c r="P127" s="38" t="s">
        <v>96</v>
      </c>
      <c r="Q127" s="45"/>
    </row>
    <row r="128" spans="1:17" s="46" customFormat="1" ht="33.6" customHeight="1">
      <c r="A128" s="17">
        <v>29</v>
      </c>
      <c r="B128" s="27" t="s">
        <v>38</v>
      </c>
      <c r="C128" s="19" t="s">
        <v>290</v>
      </c>
      <c r="D128" s="27" t="s">
        <v>51</v>
      </c>
      <c r="E128" s="27" t="s">
        <v>222</v>
      </c>
      <c r="F128" s="19" t="s">
        <v>212</v>
      </c>
      <c r="G128" s="19" t="s">
        <v>213</v>
      </c>
      <c r="H128" s="73" t="s">
        <v>214</v>
      </c>
      <c r="I128" s="19">
        <v>38733291190</v>
      </c>
      <c r="J128" s="19" t="s">
        <v>215</v>
      </c>
      <c r="K128" s="19" t="s">
        <v>226</v>
      </c>
      <c r="L128" s="27" t="s">
        <v>227</v>
      </c>
      <c r="M128" s="19" t="s">
        <v>291</v>
      </c>
      <c r="N128" s="73" t="s">
        <v>292</v>
      </c>
      <c r="O128" s="19"/>
      <c r="P128" s="38" t="s">
        <v>96</v>
      </c>
      <c r="Q128" s="45"/>
    </row>
    <row r="129" spans="1:17" s="46" customFormat="1" ht="33.6" customHeight="1">
      <c r="A129" s="17">
        <v>32</v>
      </c>
      <c r="B129" s="20" t="s">
        <v>52</v>
      </c>
      <c r="C129" s="20" t="s">
        <v>293</v>
      </c>
      <c r="D129" s="17" t="s">
        <v>51</v>
      </c>
      <c r="E129" s="19" t="s">
        <v>222</v>
      </c>
      <c r="F129" s="19" t="s">
        <v>294</v>
      </c>
      <c r="G129" s="19" t="s">
        <v>295</v>
      </c>
      <c r="H129" s="73" t="s">
        <v>296</v>
      </c>
      <c r="I129" s="20">
        <v>38733562128</v>
      </c>
      <c r="J129" s="73" t="s">
        <v>297</v>
      </c>
      <c r="K129" s="19" t="s">
        <v>298</v>
      </c>
      <c r="L129" s="20" t="s">
        <v>299</v>
      </c>
      <c r="M129" s="73" t="s">
        <v>300</v>
      </c>
      <c r="N129" s="73" t="s">
        <v>301</v>
      </c>
      <c r="O129" s="58"/>
      <c r="P129" s="58" t="s">
        <v>98</v>
      </c>
      <c r="Q129" s="45"/>
    </row>
    <row r="130" spans="1:17" s="46" customFormat="1" ht="33.6" customHeight="1">
      <c r="A130" s="17">
        <v>44</v>
      </c>
      <c r="B130" s="19" t="s">
        <v>55</v>
      </c>
      <c r="C130" s="19" t="s">
        <v>302</v>
      </c>
      <c r="D130" s="17" t="s">
        <v>51</v>
      </c>
      <c r="E130" s="19" t="s">
        <v>222</v>
      </c>
      <c r="F130" s="58"/>
      <c r="G130" s="58"/>
      <c r="H130" s="58"/>
      <c r="I130" s="58"/>
      <c r="J130" s="58"/>
      <c r="K130" s="58"/>
      <c r="L130" s="20" t="s">
        <v>299</v>
      </c>
      <c r="M130" s="58"/>
      <c r="N130" s="58"/>
      <c r="O130" s="58"/>
      <c r="P130" s="58" t="s">
        <v>98</v>
      </c>
      <c r="Q130" s="45"/>
    </row>
    <row r="131" spans="1:17" s="46" customFormat="1" ht="33.6" customHeight="1">
      <c r="A131" s="17">
        <v>45</v>
      </c>
      <c r="B131" s="19" t="s">
        <v>56</v>
      </c>
      <c r="C131" s="20" t="s">
        <v>303</v>
      </c>
      <c r="D131" s="17" t="s">
        <v>51</v>
      </c>
      <c r="E131" s="19" t="s">
        <v>222</v>
      </c>
      <c r="F131" s="19" t="s">
        <v>294</v>
      </c>
      <c r="G131" s="19" t="s">
        <v>304</v>
      </c>
      <c r="H131" s="73" t="s">
        <v>296</v>
      </c>
      <c r="I131" s="20">
        <v>38733562128</v>
      </c>
      <c r="J131" s="73" t="s">
        <v>297</v>
      </c>
      <c r="K131" s="19" t="s">
        <v>298</v>
      </c>
      <c r="L131" s="20" t="s">
        <v>299</v>
      </c>
      <c r="M131" s="73" t="s">
        <v>300</v>
      </c>
      <c r="N131" s="73" t="s">
        <v>301</v>
      </c>
      <c r="O131" s="58"/>
      <c r="P131" s="58" t="s">
        <v>98</v>
      </c>
      <c r="Q131" s="45"/>
    </row>
    <row r="132" spans="1:17" s="46" customFormat="1" ht="33.6" customHeight="1">
      <c r="A132" s="17">
        <v>51</v>
      </c>
      <c r="B132" s="19" t="s">
        <v>54</v>
      </c>
      <c r="C132" s="19" t="s">
        <v>305</v>
      </c>
      <c r="D132" s="19" t="s">
        <v>51</v>
      </c>
      <c r="E132" s="19" t="s">
        <v>222</v>
      </c>
      <c r="F132" s="58"/>
      <c r="G132" s="58"/>
      <c r="H132" s="73"/>
      <c r="I132" s="58"/>
      <c r="J132" s="58"/>
      <c r="K132" s="19" t="s">
        <v>306</v>
      </c>
      <c r="L132" s="58"/>
      <c r="M132" s="58"/>
      <c r="N132" s="58"/>
      <c r="O132" s="58"/>
      <c r="P132" s="58" t="s">
        <v>167</v>
      </c>
      <c r="Q132" s="45"/>
    </row>
    <row r="133" spans="1:17" s="46" customFormat="1" ht="91.5" customHeight="1">
      <c r="A133" s="17">
        <v>54</v>
      </c>
      <c r="B133" s="19" t="s">
        <v>57</v>
      </c>
      <c r="C133" s="19" t="s">
        <v>307</v>
      </c>
      <c r="D133" s="19" t="s">
        <v>51</v>
      </c>
      <c r="E133" s="19" t="s">
        <v>222</v>
      </c>
      <c r="F133" s="58"/>
      <c r="G133" s="58"/>
      <c r="H133" s="19"/>
      <c r="I133" s="58"/>
      <c r="J133" s="58"/>
      <c r="K133" s="19" t="s">
        <v>308</v>
      </c>
      <c r="L133" s="58"/>
      <c r="M133" s="58"/>
      <c r="N133" s="58"/>
      <c r="O133" s="58"/>
      <c r="P133" s="58" t="s">
        <v>167</v>
      </c>
      <c r="Q133" s="45"/>
    </row>
    <row r="134" spans="1:17" s="46" customFormat="1" ht="91.5" customHeight="1">
      <c r="A134" s="17">
        <v>56</v>
      </c>
      <c r="B134" s="19" t="s">
        <v>58</v>
      </c>
      <c r="C134" s="19" t="s">
        <v>309</v>
      </c>
      <c r="D134" s="19" t="s">
        <v>51</v>
      </c>
      <c r="E134" s="19" t="s">
        <v>222</v>
      </c>
      <c r="F134" s="58"/>
      <c r="G134" s="58"/>
      <c r="H134" s="73"/>
      <c r="I134" s="58"/>
      <c r="J134" s="58"/>
      <c r="K134" s="19" t="s">
        <v>310</v>
      </c>
      <c r="L134" s="58"/>
      <c r="M134" s="58"/>
      <c r="N134" s="58"/>
      <c r="O134" s="58"/>
      <c r="P134" s="58" t="s">
        <v>167</v>
      </c>
      <c r="Q134" s="45"/>
    </row>
    <row r="135" spans="1:17" s="46" customFormat="1" ht="159.6">
      <c r="A135" s="17">
        <v>38</v>
      </c>
      <c r="B135" s="19" t="s">
        <v>44</v>
      </c>
      <c r="C135" s="19" t="s">
        <v>270</v>
      </c>
      <c r="D135" s="19" t="s">
        <v>51</v>
      </c>
      <c r="E135" s="19" t="s">
        <v>271</v>
      </c>
      <c r="F135" s="19" t="s">
        <v>272</v>
      </c>
      <c r="G135" s="19"/>
      <c r="H135" s="73"/>
      <c r="I135" s="19"/>
      <c r="J135" s="73"/>
      <c r="K135" s="19"/>
      <c r="L135" s="19" t="s">
        <v>273</v>
      </c>
      <c r="M135" s="30" t="s">
        <v>274</v>
      </c>
      <c r="N135" s="73"/>
      <c r="O135" s="58"/>
      <c r="P135" s="58" t="s">
        <v>98</v>
      </c>
      <c r="Q135" s="45"/>
    </row>
    <row r="136" spans="1:17" s="46" customFormat="1" ht="86.4" customHeight="1">
      <c r="A136" s="17">
        <v>24</v>
      </c>
      <c r="B136" s="19" t="s">
        <v>27</v>
      </c>
      <c r="C136" s="24" t="s">
        <v>203</v>
      </c>
      <c r="D136" s="58" t="s">
        <v>51</v>
      </c>
      <c r="E136" s="24" t="s">
        <v>88</v>
      </c>
      <c r="F136" s="24" t="s">
        <v>204</v>
      </c>
      <c r="G136" s="24" t="s">
        <v>90</v>
      </c>
      <c r="H136" s="24" t="s">
        <v>91</v>
      </c>
      <c r="I136" s="62">
        <v>38733725207</v>
      </c>
      <c r="J136" s="75" t="s">
        <v>92</v>
      </c>
      <c r="K136" s="24" t="s">
        <v>205</v>
      </c>
      <c r="L136" s="24" t="s">
        <v>206</v>
      </c>
      <c r="M136" s="24" t="s">
        <v>95</v>
      </c>
      <c r="N136" s="24" t="s">
        <v>95</v>
      </c>
      <c r="O136" s="24" t="s">
        <v>95</v>
      </c>
      <c r="P136" s="38" t="s">
        <v>96</v>
      </c>
      <c r="Q136" s="45"/>
    </row>
    <row r="137" spans="1:17" s="46" customFormat="1" ht="111.6" customHeight="1">
      <c r="A137" s="17">
        <v>43</v>
      </c>
      <c r="B137" s="19" t="s">
        <v>45</v>
      </c>
      <c r="C137" s="19"/>
      <c r="D137" s="19" t="s">
        <v>51</v>
      </c>
      <c r="E137" s="19" t="s">
        <v>271</v>
      </c>
      <c r="F137" s="19"/>
      <c r="G137" s="19"/>
      <c r="H137" s="73"/>
      <c r="I137" s="19"/>
      <c r="J137" s="75"/>
      <c r="K137" s="73" t="s">
        <v>280</v>
      </c>
      <c r="L137" s="19"/>
      <c r="M137" s="73"/>
      <c r="N137" s="73"/>
      <c r="O137" s="58"/>
      <c r="P137" s="58" t="s">
        <v>98</v>
      </c>
      <c r="Q137" s="45"/>
    </row>
    <row r="138" spans="1:17" s="46" customFormat="1" ht="61.5" customHeight="1">
      <c r="A138" s="17">
        <v>22</v>
      </c>
      <c r="B138" s="19" t="s">
        <v>26</v>
      </c>
      <c r="C138" s="24" t="s">
        <v>87</v>
      </c>
      <c r="D138" s="17" t="s">
        <v>60</v>
      </c>
      <c r="E138" s="24" t="s">
        <v>88</v>
      </c>
      <c r="F138" s="24" t="s">
        <v>89</v>
      </c>
      <c r="G138" s="24" t="s">
        <v>90</v>
      </c>
      <c r="H138" s="72" t="s">
        <v>91</v>
      </c>
      <c r="I138" s="62">
        <v>38733725207</v>
      </c>
      <c r="J138" s="72" t="s">
        <v>92</v>
      </c>
      <c r="K138" s="24" t="s">
        <v>93</v>
      </c>
      <c r="L138" s="24" t="s">
        <v>94</v>
      </c>
      <c r="M138" s="24" t="s">
        <v>95</v>
      </c>
      <c r="N138" s="24" t="s">
        <v>95</v>
      </c>
      <c r="O138" s="24" t="s">
        <v>95</v>
      </c>
      <c r="P138" s="38" t="s">
        <v>96</v>
      </c>
      <c r="Q138" s="45"/>
    </row>
    <row r="139" spans="1:17" s="46" customFormat="1" ht="171">
      <c r="A139" s="17">
        <v>4</v>
      </c>
      <c r="B139" s="22" t="s">
        <v>5</v>
      </c>
      <c r="C139" s="22" t="s">
        <v>124</v>
      </c>
      <c r="D139" s="17" t="s">
        <v>60</v>
      </c>
      <c r="E139" s="22" t="s">
        <v>110</v>
      </c>
      <c r="F139" s="22" t="s">
        <v>125</v>
      </c>
      <c r="G139" s="22" t="s">
        <v>126</v>
      </c>
      <c r="H139" s="75" t="s">
        <v>127</v>
      </c>
      <c r="I139" s="19">
        <v>38733492125</v>
      </c>
      <c r="J139" s="72" t="s">
        <v>128</v>
      </c>
      <c r="K139" s="22" t="s">
        <v>129</v>
      </c>
      <c r="L139" s="22" t="s">
        <v>130</v>
      </c>
      <c r="M139" s="22" t="s">
        <v>131</v>
      </c>
      <c r="N139" s="76" t="s">
        <v>132</v>
      </c>
      <c r="O139" s="22" t="s">
        <v>133</v>
      </c>
      <c r="P139" s="38" t="s">
        <v>96</v>
      </c>
      <c r="Q139" s="45"/>
    </row>
    <row r="140" spans="1:17" s="46" customFormat="1" ht="345" customHeight="1">
      <c r="A140" s="17">
        <v>7</v>
      </c>
      <c r="B140" s="19" t="s">
        <v>8</v>
      </c>
      <c r="C140" s="24" t="s">
        <v>134</v>
      </c>
      <c r="D140" s="17" t="s">
        <v>60</v>
      </c>
      <c r="E140" s="24" t="s">
        <v>88</v>
      </c>
      <c r="F140" s="24" t="s">
        <v>135</v>
      </c>
      <c r="G140" s="24" t="s">
        <v>90</v>
      </c>
      <c r="H140" s="72" t="s">
        <v>91</v>
      </c>
      <c r="I140" s="62">
        <v>38733725207</v>
      </c>
      <c r="J140" s="72" t="s">
        <v>92</v>
      </c>
      <c r="K140" s="24" t="s">
        <v>136</v>
      </c>
      <c r="L140" s="24" t="s">
        <v>137</v>
      </c>
      <c r="M140" s="24" t="s">
        <v>95</v>
      </c>
      <c r="N140" s="24" t="s">
        <v>95</v>
      </c>
      <c r="O140" s="24" t="s">
        <v>95</v>
      </c>
      <c r="P140" s="38" t="s">
        <v>96</v>
      </c>
      <c r="Q140" s="45"/>
    </row>
    <row r="141" spans="1:17" s="46" customFormat="1" ht="42" customHeight="1">
      <c r="A141" s="17">
        <v>8</v>
      </c>
      <c r="B141" s="19" t="s">
        <v>9</v>
      </c>
      <c r="C141" s="24" t="s">
        <v>138</v>
      </c>
      <c r="D141" s="17" t="s">
        <v>60</v>
      </c>
      <c r="E141" s="24" t="s">
        <v>88</v>
      </c>
      <c r="F141" s="24" t="s">
        <v>89</v>
      </c>
      <c r="G141" s="24" t="s">
        <v>90</v>
      </c>
      <c r="H141" s="72" t="s">
        <v>91</v>
      </c>
      <c r="I141" s="62">
        <v>38733725207</v>
      </c>
      <c r="J141" s="72" t="s">
        <v>92</v>
      </c>
      <c r="K141" s="24" t="s">
        <v>139</v>
      </c>
      <c r="L141" s="24" t="s">
        <v>140</v>
      </c>
      <c r="M141" s="24" t="s">
        <v>95</v>
      </c>
      <c r="N141" s="24" t="s">
        <v>95</v>
      </c>
      <c r="O141" s="24" t="s">
        <v>95</v>
      </c>
      <c r="P141" s="38" t="s">
        <v>96</v>
      </c>
      <c r="Q141" s="45"/>
    </row>
    <row r="142" spans="1:17" s="46" customFormat="1" ht="42" customHeight="1">
      <c r="A142" s="17">
        <v>9</v>
      </c>
      <c r="B142" s="19" t="s">
        <v>10</v>
      </c>
      <c r="C142" s="24" t="s">
        <v>141</v>
      </c>
      <c r="D142" s="17" t="s">
        <v>60</v>
      </c>
      <c r="E142" s="24" t="s">
        <v>88</v>
      </c>
      <c r="F142" s="24" t="s">
        <v>89</v>
      </c>
      <c r="G142" s="24" t="s">
        <v>90</v>
      </c>
      <c r="H142" s="72" t="s">
        <v>91</v>
      </c>
      <c r="I142" s="62">
        <v>38733725207</v>
      </c>
      <c r="J142" s="72" t="s">
        <v>92</v>
      </c>
      <c r="K142" s="25" t="s">
        <v>142</v>
      </c>
      <c r="L142" s="24" t="s">
        <v>143</v>
      </c>
      <c r="M142" s="24" t="s">
        <v>95</v>
      </c>
      <c r="N142" s="24" t="s">
        <v>95</v>
      </c>
      <c r="O142" s="24" t="s">
        <v>95</v>
      </c>
      <c r="P142" s="38" t="s">
        <v>96</v>
      </c>
      <c r="Q142" s="45"/>
    </row>
    <row r="143" spans="1:17" s="46" customFormat="1" ht="144" customHeight="1">
      <c r="A143" s="17">
        <v>15</v>
      </c>
      <c r="B143" s="17" t="s">
        <v>17</v>
      </c>
      <c r="C143" s="17" t="s">
        <v>144</v>
      </c>
      <c r="D143" s="17" t="s">
        <v>60</v>
      </c>
      <c r="E143" s="17" t="s">
        <v>110</v>
      </c>
      <c r="F143" s="17" t="s">
        <v>111</v>
      </c>
      <c r="G143" s="17" t="s">
        <v>112</v>
      </c>
      <c r="H143" s="75" t="s">
        <v>113</v>
      </c>
      <c r="I143" s="17">
        <v>38733723635</v>
      </c>
      <c r="J143" s="75" t="s">
        <v>145</v>
      </c>
      <c r="K143" s="17" t="s">
        <v>146</v>
      </c>
      <c r="L143" s="17" t="s">
        <v>147</v>
      </c>
      <c r="M143" s="75" t="s">
        <v>148</v>
      </c>
      <c r="N143" s="75" t="s">
        <v>148</v>
      </c>
      <c r="O143" s="17"/>
      <c r="P143" s="38" t="s">
        <v>96</v>
      </c>
      <c r="Q143" s="45"/>
    </row>
    <row r="144" spans="1:17" s="46" customFormat="1" ht="158.4" customHeight="1">
      <c r="A144" s="17">
        <v>19</v>
      </c>
      <c r="B144" s="17" t="s">
        <v>20</v>
      </c>
      <c r="C144" s="17" t="s">
        <v>149</v>
      </c>
      <c r="D144" s="17" t="s">
        <v>60</v>
      </c>
      <c r="E144" s="17" t="s">
        <v>110</v>
      </c>
      <c r="F144" s="17" t="s">
        <v>111</v>
      </c>
      <c r="G144" s="17" t="s">
        <v>112</v>
      </c>
      <c r="H144" s="75" t="s">
        <v>113</v>
      </c>
      <c r="I144" s="17">
        <v>38733723635</v>
      </c>
      <c r="J144" s="75" t="s">
        <v>145</v>
      </c>
      <c r="K144" s="17" t="s">
        <v>146</v>
      </c>
      <c r="L144" s="17" t="s">
        <v>150</v>
      </c>
      <c r="M144" s="75" t="s">
        <v>151</v>
      </c>
      <c r="N144" s="75" t="s">
        <v>151</v>
      </c>
      <c r="O144" s="17"/>
      <c r="P144" s="38" t="s">
        <v>96</v>
      </c>
      <c r="Q144" s="45"/>
    </row>
    <row r="145" spans="1:17" s="46" customFormat="1" ht="30.6">
      <c r="A145" s="17">
        <v>20</v>
      </c>
      <c r="B145" s="17" t="s">
        <v>21</v>
      </c>
      <c r="C145" s="17" t="s">
        <v>152</v>
      </c>
      <c r="D145" s="17" t="s">
        <v>60</v>
      </c>
      <c r="E145" s="17" t="s">
        <v>110</v>
      </c>
      <c r="F145" s="17" t="s">
        <v>111</v>
      </c>
      <c r="G145" s="17" t="s">
        <v>112</v>
      </c>
      <c r="H145" s="75" t="s">
        <v>113</v>
      </c>
      <c r="I145" s="17">
        <v>38733723635</v>
      </c>
      <c r="J145" s="75" t="s">
        <v>145</v>
      </c>
      <c r="K145" s="17" t="s">
        <v>146</v>
      </c>
      <c r="L145" s="17" t="s">
        <v>153</v>
      </c>
      <c r="M145" s="75" t="s">
        <v>154</v>
      </c>
      <c r="N145" s="75" t="s">
        <v>154</v>
      </c>
      <c r="O145" s="17"/>
      <c r="P145" s="38" t="s">
        <v>96</v>
      </c>
      <c r="Q145" s="45"/>
    </row>
    <row r="146" spans="1:17" s="46" customFormat="1" ht="275.39999999999998">
      <c r="A146" s="17">
        <v>21</v>
      </c>
      <c r="B146" s="17" t="s">
        <v>25</v>
      </c>
      <c r="C146" s="17" t="s">
        <v>25</v>
      </c>
      <c r="D146" s="17" t="s">
        <v>60</v>
      </c>
      <c r="E146" s="17" t="s">
        <v>110</v>
      </c>
      <c r="F146" s="17" t="s">
        <v>111</v>
      </c>
      <c r="G146" s="17" t="s">
        <v>112</v>
      </c>
      <c r="H146" s="75" t="s">
        <v>113</v>
      </c>
      <c r="I146" s="17">
        <v>38733723635</v>
      </c>
      <c r="J146" s="75" t="s">
        <v>145</v>
      </c>
      <c r="K146" s="17" t="s">
        <v>155</v>
      </c>
      <c r="L146" s="17" t="s">
        <v>156</v>
      </c>
      <c r="M146" s="75" t="s">
        <v>157</v>
      </c>
      <c r="N146" s="75" t="s">
        <v>158</v>
      </c>
      <c r="O146" s="17"/>
      <c r="P146" s="38" t="s">
        <v>96</v>
      </c>
      <c r="Q146" s="45"/>
    </row>
    <row r="147" spans="1:17" s="46" customFormat="1" ht="104.4" customHeight="1">
      <c r="A147" s="17">
        <v>53</v>
      </c>
      <c r="B147" s="19" t="s">
        <v>19</v>
      </c>
      <c r="C147" s="19" t="s">
        <v>165</v>
      </c>
      <c r="D147" s="17" t="s">
        <v>60</v>
      </c>
      <c r="E147" s="19" t="s">
        <v>110</v>
      </c>
      <c r="F147" s="58"/>
      <c r="G147" s="58"/>
      <c r="H147" s="58"/>
      <c r="I147" s="58"/>
      <c r="J147" s="58"/>
      <c r="K147" s="19" t="s">
        <v>166</v>
      </c>
      <c r="L147" s="58"/>
      <c r="M147" s="58"/>
      <c r="N147" s="58"/>
      <c r="O147" s="58"/>
      <c r="P147" s="58" t="s">
        <v>167</v>
      </c>
      <c r="Q147" s="45"/>
    </row>
    <row r="148" spans="1:17" s="46" customFormat="1" ht="45.6">
      <c r="A148" s="17">
        <v>31</v>
      </c>
      <c r="B148" s="19" t="s">
        <v>3</v>
      </c>
      <c r="C148" s="19" t="s">
        <v>168</v>
      </c>
      <c r="D148" s="17" t="s">
        <v>60</v>
      </c>
      <c r="E148" s="19" t="s">
        <v>88</v>
      </c>
      <c r="F148" s="19" t="s">
        <v>169</v>
      </c>
      <c r="G148" s="19" t="s">
        <v>170</v>
      </c>
      <c r="H148" s="73"/>
      <c r="I148" s="19">
        <v>38733285261</v>
      </c>
      <c r="J148" s="73"/>
      <c r="K148" s="19"/>
      <c r="L148" s="19" t="s">
        <v>171</v>
      </c>
      <c r="M148" s="73"/>
      <c r="N148" s="73"/>
      <c r="O148" s="58"/>
      <c r="P148" s="58" t="s">
        <v>98</v>
      </c>
      <c r="Q148" s="45"/>
    </row>
    <row r="149" spans="1:17" s="46" customFormat="1" ht="102.6">
      <c r="A149" s="17">
        <v>34</v>
      </c>
      <c r="B149" s="19" t="s">
        <v>6</v>
      </c>
      <c r="C149" s="19" t="s">
        <v>172</v>
      </c>
      <c r="D149" s="17" t="s">
        <v>60</v>
      </c>
      <c r="E149" s="19" t="s">
        <v>110</v>
      </c>
      <c r="F149" s="19" t="s">
        <v>173</v>
      </c>
      <c r="G149" s="19" t="s">
        <v>174</v>
      </c>
      <c r="H149" s="73" t="s">
        <v>175</v>
      </c>
      <c r="I149" s="64">
        <v>387733637384</v>
      </c>
      <c r="J149" s="73" t="s">
        <v>176</v>
      </c>
      <c r="K149" s="19" t="s">
        <v>177</v>
      </c>
      <c r="L149" s="19" t="s">
        <v>178</v>
      </c>
      <c r="M149" s="19" t="s">
        <v>179</v>
      </c>
      <c r="N149" s="77" t="s">
        <v>180</v>
      </c>
      <c r="O149" s="58"/>
      <c r="P149" s="58" t="s">
        <v>98</v>
      </c>
      <c r="Q149" s="45"/>
    </row>
    <row r="150" spans="1:17" s="46" customFormat="1" ht="109.5" customHeight="1">
      <c r="A150" s="17">
        <v>36</v>
      </c>
      <c r="B150" s="19" t="s">
        <v>7</v>
      </c>
      <c r="C150" s="19" t="s">
        <v>181</v>
      </c>
      <c r="D150" s="17" t="s">
        <v>60</v>
      </c>
      <c r="E150" s="19" t="s">
        <v>88</v>
      </c>
      <c r="F150" s="19" t="s">
        <v>173</v>
      </c>
      <c r="G150" s="19" t="s">
        <v>174</v>
      </c>
      <c r="H150" s="77" t="s">
        <v>180</v>
      </c>
      <c r="I150" s="64">
        <v>387733637384</v>
      </c>
      <c r="J150" s="73" t="s">
        <v>176</v>
      </c>
      <c r="K150" s="19" t="s">
        <v>182</v>
      </c>
      <c r="L150" s="77" t="s">
        <v>180</v>
      </c>
      <c r="M150" s="77" t="s">
        <v>180</v>
      </c>
      <c r="N150" s="77" t="s">
        <v>180</v>
      </c>
      <c r="O150" s="58"/>
      <c r="P150" s="58" t="s">
        <v>98</v>
      </c>
      <c r="Q150" s="45"/>
    </row>
    <row r="151" spans="1:17" s="46" customFormat="1" ht="99" customHeight="1">
      <c r="A151" s="17">
        <v>39</v>
      </c>
      <c r="B151" s="19" t="s">
        <v>12</v>
      </c>
      <c r="C151" s="19" t="s">
        <v>183</v>
      </c>
      <c r="D151" s="17" t="s">
        <v>60</v>
      </c>
      <c r="E151" s="19" t="s">
        <v>88</v>
      </c>
      <c r="F151" s="19" t="s">
        <v>184</v>
      </c>
      <c r="G151" s="19"/>
      <c r="H151" s="73"/>
      <c r="I151" s="19"/>
      <c r="J151" s="73"/>
      <c r="K151" s="19"/>
      <c r="L151" s="19"/>
      <c r="M151" s="73"/>
      <c r="N151" s="73"/>
      <c r="O151" s="58"/>
      <c r="P151" s="58" t="s">
        <v>98</v>
      </c>
      <c r="Q151" s="45"/>
    </row>
    <row r="152" spans="1:17" s="46" customFormat="1" ht="29.4" customHeight="1">
      <c r="A152" s="17">
        <v>40</v>
      </c>
      <c r="B152" s="19" t="s">
        <v>13</v>
      </c>
      <c r="C152" s="19" t="s">
        <v>185</v>
      </c>
      <c r="D152" s="17" t="s">
        <v>60</v>
      </c>
      <c r="E152" s="19" t="s">
        <v>186</v>
      </c>
      <c r="F152" s="19" t="s">
        <v>187</v>
      </c>
      <c r="G152" s="19" t="s">
        <v>188</v>
      </c>
      <c r="H152" s="73" t="s">
        <v>189</v>
      </c>
      <c r="I152" s="19">
        <v>38733653093</v>
      </c>
      <c r="J152" s="73"/>
      <c r="K152" s="19"/>
      <c r="L152" s="19"/>
      <c r="M152" s="19"/>
      <c r="N152" s="73"/>
      <c r="O152" s="58"/>
      <c r="P152" s="58" t="s">
        <v>98</v>
      </c>
      <c r="Q152" s="45"/>
    </row>
    <row r="153" spans="1:17" s="46" customFormat="1" ht="29.4" customHeight="1">
      <c r="A153" s="17">
        <v>41</v>
      </c>
      <c r="B153" s="19" t="s">
        <v>14</v>
      </c>
      <c r="C153" s="19" t="s">
        <v>190</v>
      </c>
      <c r="D153" s="17" t="s">
        <v>60</v>
      </c>
      <c r="E153" s="19" t="s">
        <v>191</v>
      </c>
      <c r="F153" s="19" t="s">
        <v>192</v>
      </c>
      <c r="G153" s="19"/>
      <c r="H153" s="73"/>
      <c r="I153" s="19"/>
      <c r="J153" s="73"/>
      <c r="K153" s="19" t="s">
        <v>193</v>
      </c>
      <c r="L153" s="19"/>
      <c r="M153" s="19" t="s">
        <v>194</v>
      </c>
      <c r="N153" s="73"/>
      <c r="O153" s="58"/>
      <c r="P153" s="58" t="s">
        <v>98</v>
      </c>
      <c r="Q153" s="45"/>
    </row>
    <row r="154" spans="1:17" s="46" customFormat="1" ht="29.4" customHeight="1">
      <c r="A154" s="17">
        <v>42</v>
      </c>
      <c r="B154" s="19" t="s">
        <v>15</v>
      </c>
      <c r="C154" s="19"/>
      <c r="D154" s="17" t="s">
        <v>60</v>
      </c>
      <c r="E154" s="19" t="s">
        <v>88</v>
      </c>
      <c r="F154" s="19" t="s">
        <v>97</v>
      </c>
      <c r="G154" s="19"/>
      <c r="H154" s="73"/>
      <c r="I154" s="19"/>
      <c r="J154" s="73"/>
      <c r="K154" s="19"/>
      <c r="L154" s="19"/>
      <c r="M154" s="73"/>
      <c r="N154" s="73"/>
      <c r="O154" s="58"/>
      <c r="P154" s="58" t="s">
        <v>98</v>
      </c>
      <c r="Q154" s="45"/>
    </row>
    <row r="155" spans="1:17" s="46" customFormat="1" ht="125.4">
      <c r="A155" s="17">
        <v>52</v>
      </c>
      <c r="B155" s="19" t="s">
        <v>16</v>
      </c>
      <c r="C155" s="19" t="s">
        <v>195</v>
      </c>
      <c r="D155" s="17" t="s">
        <v>60</v>
      </c>
      <c r="E155" s="19" t="s">
        <v>110</v>
      </c>
      <c r="F155" s="58"/>
      <c r="G155" s="58"/>
      <c r="H155" s="78" t="s">
        <v>196</v>
      </c>
      <c r="I155" s="58"/>
      <c r="J155" s="58"/>
      <c r="K155" s="19" t="s">
        <v>197</v>
      </c>
      <c r="L155" s="58"/>
      <c r="M155" s="58"/>
      <c r="N155" s="58"/>
      <c r="O155" s="58"/>
      <c r="P155" s="58" t="s">
        <v>167</v>
      </c>
      <c r="Q155" s="45"/>
    </row>
    <row r="156" spans="1:17" s="46" customFormat="1" ht="68.400000000000006">
      <c r="A156" s="17">
        <v>58</v>
      </c>
      <c r="B156" s="19" t="s">
        <v>22</v>
      </c>
      <c r="C156" s="19" t="s">
        <v>198</v>
      </c>
      <c r="D156" s="17" t="s">
        <v>60</v>
      </c>
      <c r="E156" s="58" t="s">
        <v>199</v>
      </c>
      <c r="F156" s="58"/>
      <c r="G156" s="58"/>
      <c r="H156" s="19"/>
      <c r="I156" s="58"/>
      <c r="J156" s="58"/>
      <c r="K156" s="19" t="s">
        <v>200</v>
      </c>
      <c r="L156" s="58"/>
      <c r="M156" s="58"/>
      <c r="N156" s="58"/>
      <c r="O156" s="58"/>
      <c r="P156" s="58" t="s">
        <v>167</v>
      </c>
      <c r="Q156" s="45"/>
    </row>
    <row r="157" spans="1:17" s="46" customFormat="1" ht="71.400000000000006" customHeight="1">
      <c r="A157" s="17">
        <v>59</v>
      </c>
      <c r="B157" s="20" t="s">
        <v>23</v>
      </c>
      <c r="C157" s="20" t="s">
        <v>201</v>
      </c>
      <c r="D157" s="17" t="s">
        <v>60</v>
      </c>
      <c r="E157" s="58" t="s">
        <v>110</v>
      </c>
      <c r="F157" s="58"/>
      <c r="G157" s="58"/>
      <c r="H157" s="19"/>
      <c r="I157" s="58"/>
      <c r="J157" s="58"/>
      <c r="K157" s="19" t="s">
        <v>202</v>
      </c>
      <c r="L157" s="58"/>
      <c r="M157" s="58"/>
      <c r="N157" s="58"/>
      <c r="O157" s="58"/>
      <c r="P157" s="58" t="s">
        <v>167</v>
      </c>
      <c r="Q157" s="45"/>
    </row>
    <row r="158" spans="1:17" ht="22.8">
      <c r="A158" s="17">
        <v>60</v>
      </c>
      <c r="B158" s="19" t="s">
        <v>24</v>
      </c>
      <c r="C158" s="19"/>
      <c r="D158" s="17" t="s">
        <v>60</v>
      </c>
      <c r="E158" s="58" t="s">
        <v>88</v>
      </c>
      <c r="F158" s="58"/>
      <c r="G158" s="58"/>
      <c r="H158" s="73"/>
      <c r="I158" s="58"/>
      <c r="J158" s="58"/>
      <c r="K158" s="19"/>
      <c r="L158" s="58"/>
      <c r="M158" s="58"/>
      <c r="N158" s="58"/>
      <c r="O158" s="58"/>
      <c r="P158" s="58" t="s">
        <v>167</v>
      </c>
    </row>
    <row r="159" spans="1:17" ht="74.099999999999994" customHeight="1">
      <c r="A159" s="19">
        <v>3</v>
      </c>
      <c r="B159" s="19" t="s">
        <v>41</v>
      </c>
      <c r="C159" s="19" t="s">
        <v>255</v>
      </c>
      <c r="D159" s="19" t="s">
        <v>60</v>
      </c>
      <c r="E159" s="17" t="s">
        <v>110</v>
      </c>
      <c r="F159" s="19" t="s">
        <v>256</v>
      </c>
      <c r="G159" s="19" t="s">
        <v>257</v>
      </c>
      <c r="H159" s="73" t="s">
        <v>258</v>
      </c>
      <c r="I159" s="19">
        <v>38733226445</v>
      </c>
      <c r="J159" s="19"/>
      <c r="K159" s="19" t="s">
        <v>259</v>
      </c>
      <c r="L159" s="19" t="s">
        <v>260</v>
      </c>
      <c r="M159" s="19" t="s">
        <v>261</v>
      </c>
      <c r="N159" s="73" t="s">
        <v>262</v>
      </c>
      <c r="O159" s="73" t="s">
        <v>258</v>
      </c>
      <c r="P159" s="38" t="s">
        <v>96</v>
      </c>
    </row>
    <row r="160" spans="1:17" ht="102.6" customHeight="1">
      <c r="A160" s="19">
        <v>10</v>
      </c>
      <c r="B160" s="17" t="s">
        <v>42</v>
      </c>
      <c r="C160" s="17" t="s">
        <v>263</v>
      </c>
      <c r="D160" s="17" t="s">
        <v>60</v>
      </c>
      <c r="E160" s="17" t="s">
        <v>88</v>
      </c>
      <c r="F160" s="17" t="s">
        <v>264</v>
      </c>
      <c r="G160" s="17" t="s">
        <v>265</v>
      </c>
      <c r="H160" s="75" t="s">
        <v>266</v>
      </c>
      <c r="I160" s="17">
        <v>38733562027</v>
      </c>
      <c r="J160" s="75" t="s">
        <v>267</v>
      </c>
      <c r="K160" s="17" t="s">
        <v>268</v>
      </c>
      <c r="L160" s="17"/>
      <c r="M160" s="75" t="s">
        <v>269</v>
      </c>
      <c r="N160" s="75" t="s">
        <v>269</v>
      </c>
      <c r="O160" s="17"/>
      <c r="P160" s="38" t="s">
        <v>96</v>
      </c>
    </row>
    <row r="161" spans="1:16" ht="66.900000000000006" customHeight="1">
      <c r="A161" s="17">
        <v>38</v>
      </c>
      <c r="B161" s="19" t="s">
        <v>44</v>
      </c>
      <c r="C161" s="19" t="s">
        <v>270</v>
      </c>
      <c r="D161" s="19" t="s">
        <v>60</v>
      </c>
      <c r="E161" s="19" t="s">
        <v>271</v>
      </c>
      <c r="F161" s="19" t="s">
        <v>272</v>
      </c>
      <c r="G161" s="19"/>
      <c r="H161" s="73"/>
      <c r="I161" s="19"/>
      <c r="J161" s="73"/>
      <c r="K161" s="19"/>
      <c r="L161" s="19" t="s">
        <v>273</v>
      </c>
      <c r="M161" s="30" t="s">
        <v>274</v>
      </c>
      <c r="N161" s="73"/>
      <c r="O161" s="58"/>
      <c r="P161" s="58" t="s">
        <v>98</v>
      </c>
    </row>
    <row r="162" spans="1:16" ht="69.599999999999994" customHeight="1">
      <c r="A162" s="17">
        <v>1</v>
      </c>
      <c r="B162" s="17" t="s">
        <v>68</v>
      </c>
      <c r="C162" s="17" t="s">
        <v>311</v>
      </c>
      <c r="D162" s="17" t="s">
        <v>60</v>
      </c>
      <c r="E162" s="17" t="s">
        <v>110</v>
      </c>
      <c r="F162" s="17" t="s">
        <v>312</v>
      </c>
      <c r="G162" s="17" t="s">
        <v>313</v>
      </c>
      <c r="H162" s="75" t="s">
        <v>314</v>
      </c>
      <c r="I162" s="17">
        <v>38733777260</v>
      </c>
      <c r="J162" s="75" t="s">
        <v>315</v>
      </c>
      <c r="K162" s="17" t="s">
        <v>316</v>
      </c>
      <c r="L162" s="17" t="s">
        <v>317</v>
      </c>
      <c r="M162" s="17" t="s">
        <v>318</v>
      </c>
      <c r="N162" s="17"/>
      <c r="O162" s="17"/>
      <c r="P162" s="38" t="s">
        <v>96</v>
      </c>
    </row>
    <row r="163" spans="1:16" ht="93" customHeight="1">
      <c r="A163" s="17">
        <v>5</v>
      </c>
      <c r="B163" s="17" t="s">
        <v>69</v>
      </c>
      <c r="C163" s="17" t="s">
        <v>319</v>
      </c>
      <c r="D163" s="17" t="s">
        <v>60</v>
      </c>
      <c r="E163" s="17" t="s">
        <v>110</v>
      </c>
      <c r="F163" s="17" t="s">
        <v>312</v>
      </c>
      <c r="G163" s="17" t="s">
        <v>265</v>
      </c>
      <c r="H163" s="17"/>
      <c r="I163" s="17"/>
      <c r="J163" s="17"/>
      <c r="K163" s="17" t="s">
        <v>320</v>
      </c>
      <c r="L163" s="17"/>
      <c r="M163" s="17"/>
      <c r="N163" s="17"/>
      <c r="O163" s="17" t="s">
        <v>321</v>
      </c>
      <c r="P163" s="38" t="s">
        <v>96</v>
      </c>
    </row>
    <row r="164" spans="1:16" ht="83.1" customHeight="1">
      <c r="A164" s="17">
        <v>6</v>
      </c>
      <c r="B164" s="17" t="s">
        <v>62</v>
      </c>
      <c r="C164" s="17" t="s">
        <v>322</v>
      </c>
      <c r="D164" s="17" t="s">
        <v>60</v>
      </c>
      <c r="E164" s="17" t="s">
        <v>110</v>
      </c>
      <c r="F164" s="17" t="s">
        <v>284</v>
      </c>
      <c r="G164" s="17" t="s">
        <v>285</v>
      </c>
      <c r="H164" s="80" t="s">
        <v>323</v>
      </c>
      <c r="I164" s="17">
        <v>38733562379</v>
      </c>
      <c r="J164" s="81" t="s">
        <v>324</v>
      </c>
      <c r="K164" s="17"/>
      <c r="L164" s="17" t="s">
        <v>325</v>
      </c>
      <c r="M164" s="17" t="s">
        <v>326</v>
      </c>
      <c r="N164" s="75" t="s">
        <v>327</v>
      </c>
      <c r="O164" s="17" t="s">
        <v>328</v>
      </c>
      <c r="P164" s="38" t="s">
        <v>96</v>
      </c>
    </row>
    <row r="165" spans="1:16" ht="66.900000000000006" customHeight="1">
      <c r="A165" s="66">
        <v>16</v>
      </c>
      <c r="B165" s="66" t="s">
        <v>63</v>
      </c>
      <c r="C165" s="66" t="s">
        <v>329</v>
      </c>
      <c r="D165" s="66" t="s">
        <v>60</v>
      </c>
      <c r="E165" s="66" t="s">
        <v>110</v>
      </c>
      <c r="F165" s="17" t="s">
        <v>111</v>
      </c>
      <c r="G165" s="17" t="s">
        <v>112</v>
      </c>
      <c r="H165" s="75" t="s">
        <v>113</v>
      </c>
      <c r="I165" s="17">
        <v>38733723635</v>
      </c>
      <c r="J165" s="75" t="s">
        <v>145</v>
      </c>
      <c r="K165" s="66" t="s">
        <v>146</v>
      </c>
      <c r="L165" s="17" t="s">
        <v>330</v>
      </c>
      <c r="M165" s="75" t="s">
        <v>331</v>
      </c>
      <c r="N165" s="75" t="s">
        <v>331</v>
      </c>
      <c r="O165" s="17"/>
      <c r="P165" s="38" t="s">
        <v>96</v>
      </c>
    </row>
    <row r="166" spans="1:16" ht="44.1" customHeight="1">
      <c r="A166" s="66">
        <v>16</v>
      </c>
      <c r="B166" s="66" t="s">
        <v>63</v>
      </c>
      <c r="C166" s="66" t="s">
        <v>329</v>
      </c>
      <c r="D166" s="83" t="s">
        <v>60</v>
      </c>
      <c r="E166" s="66" t="s">
        <v>110</v>
      </c>
      <c r="F166" s="17" t="s">
        <v>284</v>
      </c>
      <c r="G166" s="17" t="s">
        <v>285</v>
      </c>
      <c r="H166" s="17" t="s">
        <v>323</v>
      </c>
      <c r="I166" s="17">
        <v>38733562379</v>
      </c>
      <c r="J166" s="75" t="s">
        <v>332</v>
      </c>
      <c r="K166" s="66" t="s">
        <v>146</v>
      </c>
      <c r="L166" s="17" t="s">
        <v>333</v>
      </c>
      <c r="M166" s="17" t="s">
        <v>334</v>
      </c>
      <c r="N166" s="75" t="s">
        <v>335</v>
      </c>
      <c r="O166" s="17" t="s">
        <v>328</v>
      </c>
      <c r="P166" s="38" t="s">
        <v>96</v>
      </c>
    </row>
    <row r="167" spans="1:16" ht="31.5" customHeight="1">
      <c r="A167" s="17">
        <v>23</v>
      </c>
      <c r="B167" s="17" t="s">
        <v>64</v>
      </c>
      <c r="C167" s="17" t="s">
        <v>336</v>
      </c>
      <c r="D167" s="82" t="s">
        <v>60</v>
      </c>
      <c r="E167" s="17" t="s">
        <v>110</v>
      </c>
      <c r="F167" s="17" t="s">
        <v>312</v>
      </c>
      <c r="G167" s="17" t="s">
        <v>313</v>
      </c>
      <c r="H167" s="75" t="s">
        <v>314</v>
      </c>
      <c r="I167" s="17">
        <v>38733777260</v>
      </c>
      <c r="J167" s="75" t="s">
        <v>315</v>
      </c>
      <c r="K167" s="17" t="s">
        <v>337</v>
      </c>
      <c r="L167" s="17" t="s">
        <v>338</v>
      </c>
      <c r="M167" s="17" t="s">
        <v>339</v>
      </c>
      <c r="N167" s="17"/>
      <c r="O167" s="17" t="s">
        <v>340</v>
      </c>
      <c r="P167" s="38" t="s">
        <v>96</v>
      </c>
    </row>
    <row r="168" spans="1:16" ht="31.5" customHeight="1">
      <c r="A168" s="17">
        <v>26</v>
      </c>
      <c r="B168" s="17" t="s">
        <v>65</v>
      </c>
      <c r="C168" s="17" t="s">
        <v>341</v>
      </c>
      <c r="D168" s="82" t="s">
        <v>60</v>
      </c>
      <c r="E168" s="17" t="s">
        <v>110</v>
      </c>
      <c r="F168" s="17" t="s">
        <v>312</v>
      </c>
      <c r="G168" s="17" t="s">
        <v>313</v>
      </c>
      <c r="H168" s="75" t="s">
        <v>314</v>
      </c>
      <c r="I168" s="17">
        <v>38733777260</v>
      </c>
      <c r="J168" s="75" t="s">
        <v>315</v>
      </c>
      <c r="K168" s="17" t="s">
        <v>342</v>
      </c>
      <c r="L168" s="17" t="s">
        <v>343</v>
      </c>
      <c r="M168" s="17" t="s">
        <v>344</v>
      </c>
      <c r="N168" s="17"/>
      <c r="O168" s="17" t="s">
        <v>345</v>
      </c>
      <c r="P168" s="38" t="s">
        <v>96</v>
      </c>
    </row>
    <row r="169" spans="1:16" ht="31.5" customHeight="1">
      <c r="A169" s="17">
        <v>27</v>
      </c>
      <c r="B169" s="17" t="s">
        <v>66</v>
      </c>
      <c r="C169" s="17" t="s">
        <v>322</v>
      </c>
      <c r="D169" s="82" t="s">
        <v>60</v>
      </c>
      <c r="E169" s="17" t="s">
        <v>110</v>
      </c>
      <c r="F169" s="17" t="s">
        <v>284</v>
      </c>
      <c r="G169" s="17" t="s">
        <v>285</v>
      </c>
      <c r="H169" s="80" t="s">
        <v>323</v>
      </c>
      <c r="I169" s="17">
        <v>38733562379</v>
      </c>
      <c r="J169" s="75" t="s">
        <v>332</v>
      </c>
      <c r="K169" s="17"/>
      <c r="L169" s="17" t="s">
        <v>346</v>
      </c>
      <c r="M169" s="17" t="s">
        <v>347</v>
      </c>
      <c r="N169" s="75" t="s">
        <v>348</v>
      </c>
      <c r="O169" s="17" t="s">
        <v>328</v>
      </c>
      <c r="P169" s="38" t="s">
        <v>96</v>
      </c>
    </row>
    <row r="170" spans="1:16" ht="31.5" customHeight="1">
      <c r="A170" s="17">
        <v>28</v>
      </c>
      <c r="B170" s="17" t="s">
        <v>67</v>
      </c>
      <c r="C170" s="17" t="s">
        <v>322</v>
      </c>
      <c r="D170" s="82" t="s">
        <v>60</v>
      </c>
      <c r="E170" s="17" t="s">
        <v>110</v>
      </c>
      <c r="F170" s="17" t="s">
        <v>284</v>
      </c>
      <c r="G170" s="17" t="s">
        <v>285</v>
      </c>
      <c r="H170" s="80" t="s">
        <v>323</v>
      </c>
      <c r="I170" s="17">
        <v>38733562379</v>
      </c>
      <c r="J170" s="75" t="s">
        <v>332</v>
      </c>
      <c r="K170" s="17"/>
      <c r="L170" s="17" t="s">
        <v>346</v>
      </c>
      <c r="M170" s="17" t="s">
        <v>347</v>
      </c>
      <c r="N170" s="75" t="s">
        <v>349</v>
      </c>
      <c r="O170" s="17" t="s">
        <v>328</v>
      </c>
      <c r="P170" s="38" t="s">
        <v>96</v>
      </c>
    </row>
    <row r="171" spans="1:16" ht="99.6" customHeight="1">
      <c r="A171" s="17">
        <v>30</v>
      </c>
      <c r="B171" s="17" t="s">
        <v>70</v>
      </c>
      <c r="C171" s="17" t="s">
        <v>350</v>
      </c>
      <c r="D171" s="17" t="s">
        <v>60</v>
      </c>
      <c r="E171" s="17" t="s">
        <v>88</v>
      </c>
      <c r="F171" s="17" t="s">
        <v>101</v>
      </c>
      <c r="G171" s="17"/>
      <c r="H171" s="17"/>
      <c r="I171" s="17"/>
      <c r="J171" s="75"/>
      <c r="K171" s="17" t="s">
        <v>351</v>
      </c>
      <c r="L171" s="17" t="s">
        <v>352</v>
      </c>
      <c r="M171" s="17" t="s">
        <v>353</v>
      </c>
      <c r="N171" s="17"/>
      <c r="O171" s="17" t="s">
        <v>354</v>
      </c>
      <c r="P171" s="38" t="s">
        <v>96</v>
      </c>
    </row>
    <row r="172" spans="1:16" ht="99.6" customHeight="1">
      <c r="A172" s="17">
        <v>35</v>
      </c>
      <c r="B172" s="19" t="s">
        <v>61</v>
      </c>
      <c r="C172" s="19" t="s">
        <v>355</v>
      </c>
      <c r="D172" s="17" t="s">
        <v>60</v>
      </c>
      <c r="E172" s="19" t="s">
        <v>110</v>
      </c>
      <c r="F172" s="19" t="s">
        <v>173</v>
      </c>
      <c r="G172" s="19" t="s">
        <v>174</v>
      </c>
      <c r="H172" s="73"/>
      <c r="I172" s="64">
        <v>387733637384</v>
      </c>
      <c r="J172" s="75" t="s">
        <v>176</v>
      </c>
      <c r="K172" s="19" t="s">
        <v>356</v>
      </c>
      <c r="L172" s="19" t="s">
        <v>301</v>
      </c>
      <c r="M172" s="19" t="s">
        <v>301</v>
      </c>
      <c r="N172" s="19" t="s">
        <v>301</v>
      </c>
      <c r="O172" s="58"/>
      <c r="P172" s="58" t="s">
        <v>98</v>
      </c>
    </row>
    <row r="173" spans="1:16" ht="72" customHeight="1">
      <c r="A173" s="17">
        <v>24</v>
      </c>
      <c r="B173" s="19" t="s">
        <v>27</v>
      </c>
      <c r="C173" s="24" t="s">
        <v>203</v>
      </c>
      <c r="D173" s="58" t="s">
        <v>60</v>
      </c>
      <c r="E173" s="24" t="s">
        <v>88</v>
      </c>
      <c r="F173" s="24" t="s">
        <v>204</v>
      </c>
      <c r="G173" s="24" t="s">
        <v>90</v>
      </c>
      <c r="H173" s="24" t="s">
        <v>91</v>
      </c>
      <c r="I173" s="62">
        <v>38733725207</v>
      </c>
      <c r="J173" s="75" t="s">
        <v>92</v>
      </c>
      <c r="K173" s="24" t="s">
        <v>205</v>
      </c>
      <c r="L173" s="24" t="s">
        <v>206</v>
      </c>
      <c r="M173" s="24" t="s">
        <v>95</v>
      </c>
      <c r="N173" s="24" t="s">
        <v>95</v>
      </c>
      <c r="O173" s="24" t="s">
        <v>95</v>
      </c>
      <c r="P173" s="38" t="s">
        <v>96</v>
      </c>
    </row>
    <row r="174" spans="1:16" ht="72" customHeight="1">
      <c r="A174" s="17">
        <v>37</v>
      </c>
      <c r="B174" s="19" t="s">
        <v>43</v>
      </c>
      <c r="C174" s="19" t="s">
        <v>275</v>
      </c>
      <c r="D174" s="19" t="s">
        <v>60</v>
      </c>
      <c r="E174" s="19" t="s">
        <v>186</v>
      </c>
      <c r="F174" s="19" t="s">
        <v>276</v>
      </c>
      <c r="G174" s="19" t="s">
        <v>277</v>
      </c>
      <c r="H174" s="73"/>
      <c r="I174" s="19"/>
      <c r="J174" s="75"/>
      <c r="K174" s="19"/>
      <c r="L174" s="19" t="s">
        <v>278</v>
      </c>
      <c r="M174" s="19" t="s">
        <v>279</v>
      </c>
      <c r="N174" s="73"/>
      <c r="O174" s="58"/>
      <c r="P174" s="58" t="s">
        <v>98</v>
      </c>
    </row>
    <row r="175" spans="1:16" ht="72" customHeight="1">
      <c r="A175" s="17">
        <v>43</v>
      </c>
      <c r="B175" s="19" t="s">
        <v>45</v>
      </c>
      <c r="C175" s="19"/>
      <c r="D175" s="19" t="s">
        <v>60</v>
      </c>
      <c r="E175" s="19" t="s">
        <v>271</v>
      </c>
      <c r="F175" s="19"/>
      <c r="G175" s="19"/>
      <c r="H175" s="73"/>
      <c r="I175" s="19"/>
      <c r="J175" s="75"/>
      <c r="K175" s="73" t="s">
        <v>280</v>
      </c>
      <c r="L175" s="19"/>
      <c r="M175" s="73"/>
      <c r="N175" s="73"/>
      <c r="O175" s="58"/>
      <c r="P175" s="58" t="s">
        <v>98</v>
      </c>
    </row>
  </sheetData>
  <dataValidations disablePrompts="1" count="1">
    <dataValidation type="list" allowBlank="1" showInputMessage="1" showErrorMessage="1" sqref="E63:E65 E96:E100 E47:E50 E57:E59 E76:E77 E79:E80" xr:uid="{0475F4EB-A4C8-4B47-B074-D2576BDA4CF5}">
      <formula1>#REF!</formula1>
    </dataValidation>
  </dataValidations>
  <hyperlinks>
    <hyperlink ref="H12" r:id="rId1" xr:uid="{489C228D-5862-4794-9593-6DECC485CAB4}"/>
    <hyperlink ref="N12" r:id="rId2" xr:uid="{1CEB210D-0826-4667-ADE5-9214123DE9C8}"/>
    <hyperlink ref="M12" r:id="rId3" xr:uid="{582A4B02-BA3E-4D92-ADB2-6670BF43C017}"/>
    <hyperlink ref="H165" r:id="rId4" xr:uid="{4503C2C8-FDFC-4480-88CF-40453A6F1844}"/>
    <hyperlink ref="M165" r:id="rId5" xr:uid="{DF1F4F69-BF6C-4EA1-9E46-07F9A7B78285}"/>
    <hyperlink ref="N165" r:id="rId6" xr:uid="{A66E0B89-2EF4-4ADD-B146-E15ACA534D4A}"/>
    <hyperlink ref="H13" r:id="rId7" xr:uid="{C77D2401-F85B-4012-8775-3DD0B5ACE89D}"/>
    <hyperlink ref="M13" r:id="rId8" xr:uid="{08A995AF-41E3-4A8E-A1D8-234414AAA7E3}"/>
    <hyperlink ref="N13" r:id="rId9" xr:uid="{98DBAC2A-9550-40A1-B94B-274221761BDE}"/>
    <hyperlink ref="H85" r:id="rId10" xr:uid="{E68558D7-DA36-4B6E-BC24-398D0FA0E692}"/>
    <hyperlink ref="N85" r:id="rId11" xr:uid="{C5FA1FA2-46EC-4236-9014-485218212C5E}"/>
    <hyperlink ref="M11" r:id="rId12" xr:uid="{C65524FD-9FF5-4862-8C58-968544F27A61}"/>
    <hyperlink ref="N11" r:id="rId13" xr:uid="{53FF324A-B8EF-4B08-A457-B1943E89BA30}"/>
    <hyperlink ref="H11" r:id="rId14" xr:uid="{FDC5025A-EC0A-4AEC-965F-7D8E4469C495}"/>
    <hyperlink ref="H126" r:id="rId15" xr:uid="{84996410-BBCE-4CED-9749-9313937C114E}"/>
    <hyperlink ref="M126" r:id="rId16" xr:uid="{8916EDF1-66B0-496B-9E98-3F6EE1A2199C}"/>
    <hyperlink ref="N126" r:id="rId17" xr:uid="{74A3DF41-4D04-433D-B90B-7653E6AC4BD8}"/>
    <hyperlink ref="H5" r:id="rId18" xr:uid="{65A9341A-4F1E-48E3-8E5E-94E0956D6561}"/>
    <hyperlink ref="M5" r:id="rId19" xr:uid="{D66C5F27-4DD6-4990-B723-3E431BE55F11}"/>
    <hyperlink ref="N5" r:id="rId20" xr:uid="{FEFE8284-8E33-4D42-9E5E-6A585C3E6DF9}"/>
    <hyperlink ref="J12" r:id="rId21" xr:uid="{15635E1F-7574-4E26-B53A-DFDE67F09C90}"/>
    <hyperlink ref="J8:J32" r:id="rId22" display="mirsada@kcsr.ba" xr:uid="{CBE8411F-2EA9-4BBE-A37D-70784551C1B2}"/>
    <hyperlink ref="H14" r:id="rId23" xr:uid="{391483D4-4144-4DC1-897F-4F72944E2B90}"/>
    <hyperlink ref="J14" r:id="rId24" xr:uid="{37D05570-7178-4B97-81A7-8A494EEF76BA}"/>
    <hyperlink ref="M14" r:id="rId25" xr:uid="{33A31F08-6805-4983-8A53-8179177EF071}"/>
    <hyperlink ref="J5" r:id="rId26" xr:uid="{7E00EB46-6D1A-4CF9-BD0B-B241293B9386}"/>
    <hyperlink ref="N14" r:id="rId27" xr:uid="{D0A533B7-3BAB-4453-994C-EF612A14C346}"/>
    <hyperlink ref="M90" r:id="rId28" xr:uid="{048026E5-CF25-4F88-A877-6CDA04C33284}"/>
    <hyperlink ref="N90" r:id="rId29" xr:uid="{F2E133EB-F983-4EE5-9918-B51129AB966D}"/>
    <hyperlink ref="J90" r:id="rId30" xr:uid="{71DD806E-7FB5-4326-9CF6-76B05F1CD643}"/>
    <hyperlink ref="H90" r:id="rId31" xr:uid="{95771486-46A6-482A-888B-9AB1F4559E09}"/>
    <hyperlink ref="J11" r:id="rId32" xr:uid="{0DA25B72-7BC8-41B6-A57E-FC50E702EFDE}"/>
    <hyperlink ref="N166" r:id="rId33" xr:uid="{79C118C5-3F00-4778-89E1-F32246F1B635}"/>
    <hyperlink ref="H166" r:id="rId34" xr:uid="{712AFB6E-2D92-4DBA-A507-5A7720DA53BA}"/>
    <hyperlink ref="H170" r:id="rId35" xr:uid="{17E63BDE-C947-4C19-8A09-A58A2B9FCF54}"/>
    <hyperlink ref="H169" r:id="rId36" xr:uid="{BDEA5B6D-40D5-4E52-B959-67830F75F188}"/>
    <hyperlink ref="H164" r:id="rId37" xr:uid="{ECAA134C-D46A-44FD-9506-94F1E78F56C4}"/>
    <hyperlink ref="N170" r:id="rId38" xr:uid="{661DA61D-1302-46E4-8FF9-DA2CAFC340FA}"/>
    <hyperlink ref="N169" r:id="rId39" xr:uid="{E75E47D6-4B71-494F-B936-28A4D231BFC4}"/>
    <hyperlink ref="N164" r:id="rId40" xr:uid="{B92B61CB-19FF-49C3-90C0-93E198547AA7}"/>
    <hyperlink ref="H168" r:id="rId41" xr:uid="{39E05374-DE4D-48EE-B3CE-85D679F58341}"/>
    <hyperlink ref="J168" r:id="rId42" xr:uid="{8A82606E-0829-4CB6-9D6B-FFCEC23C3DF8}"/>
    <hyperlink ref="H167" r:id="rId43" xr:uid="{389682CF-CFD4-4828-8AB6-63E8E5FFCA87}"/>
    <hyperlink ref="J167" r:id="rId44" xr:uid="{977AE700-017B-48AA-A7DC-8AB4C7FDF326}"/>
    <hyperlink ref="H162" r:id="rId45" xr:uid="{F39269B4-752C-48A3-B91D-BFF512089966}"/>
    <hyperlink ref="J162" r:id="rId46" xr:uid="{E091719C-0537-4B50-926A-911853796B2A}"/>
    <hyperlink ref="H6" r:id="rId47" xr:uid="{25E8319D-E2E4-4AD7-9EF6-8FC983D1BCBA}"/>
    <hyperlink ref="H60" r:id="rId48" xr:uid="{02D1F2DF-3946-4900-959A-69201765852C}"/>
    <hyperlink ref="J60" r:id="rId49" xr:uid="{7EF155E3-B322-4D6C-991C-3EA741C391A3}"/>
    <hyperlink ref="N60" r:id="rId50" xr:uid="{F5290C05-DFF4-40AE-B036-27F88465C760}"/>
    <hyperlink ref="H127" r:id="rId51" display="https://www.centar.ba/gradjani/put-do-prava/porodica/treca-zivotna-dob" xr:uid="{B75C5557-976B-418B-B905-FD4F4A24EE10}"/>
    <hyperlink ref="J127" r:id="rId52" xr:uid="{E44335F1-E955-49E7-B7A2-C5B30953B0F6}"/>
    <hyperlink ref="N127" r:id="rId53" xr:uid="{87A93838-F869-45C1-8574-6DC2D9BB7CDB}"/>
    <hyperlink ref="N128" r:id="rId54" xr:uid="{8F430B1B-D525-4A83-932B-5F5863285A53}"/>
    <hyperlink ref="H128" r:id="rId55" xr:uid="{8D2F57A3-ADC2-4F5D-9B2B-A04EF3392F71}"/>
    <hyperlink ref="J7" r:id="rId56" xr:uid="{E74BEE99-F24B-496D-B15C-90064C814F1D}"/>
    <hyperlink ref="N7" r:id="rId57" xr:uid="{DAC8633E-A473-4110-93A8-3CC0C98E3BC6}"/>
    <hyperlink ref="H7" r:id="rId58" xr:uid="{B89997EC-1C58-45DE-B14B-C30B5661601C}"/>
    <hyperlink ref="N89" r:id="rId59" xr:uid="{305A0512-892C-42D7-B8C1-4A54436EA5D4}"/>
    <hyperlink ref="N59" r:id="rId60"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D23D538F-7F7B-4E71-B101-36762FC5780E}"/>
    <hyperlink ref="H59" r:id="rId61" xr:uid="{528A251E-9098-4034-B8AA-534B87178E12}"/>
    <hyperlink ref="H86" r:id="rId62" xr:uid="{B503B11C-A562-443A-A8D1-A56E4EC4505A}"/>
    <hyperlink ref="J86" r:id="rId63" xr:uid="{DD90C9C4-70F0-4B46-AF9E-C403550F3D93}"/>
    <hyperlink ref="N86" r:id="rId64" xr:uid="{FDC4E678-1672-4F6E-AC19-C085756A2748}"/>
    <hyperlink ref="H10" r:id="rId65" xr:uid="{C65E8690-AF57-4ADF-920F-2C53DD4F3941}"/>
    <hyperlink ref="J10" r:id="rId66" xr:uid="{FE28A0EF-DF23-42F3-8691-CBF04DD8A76E}"/>
    <hyperlink ref="H58" r:id="rId67" xr:uid="{2FDC690A-ADFA-410F-8B46-DAAC9A0C6946}"/>
    <hyperlink ref="J58" r:id="rId68" xr:uid="{F0EB3CDF-F1F4-418D-9669-6237F68972EC}"/>
    <hyperlink ref="H9" r:id="rId69" xr:uid="{24C002C7-4896-476D-B101-D4624F515386}"/>
    <hyperlink ref="J9" r:id="rId70" xr:uid="{FF140DDD-E2E5-4B1E-B619-D85D4B6B2A44}"/>
    <hyperlink ref="H2" r:id="rId71" xr:uid="{9CD667D3-34D9-4F7D-B8A6-9BF182F723EB}"/>
    <hyperlink ref="J2" r:id="rId72" xr:uid="{BDDD1F1B-9FE3-4A1E-B660-4F2BAFFF79C1}"/>
    <hyperlink ref="H8" r:id="rId73" xr:uid="{25422587-B55E-4E39-A0FD-1AE38AF3C241}"/>
    <hyperlink ref="J8" r:id="rId74" xr:uid="{ECBE0109-E751-4E9F-B6B4-6C687D5731A9}"/>
    <hyperlink ref="J30" r:id="rId75" xr:uid="{404785AB-41B1-4D44-9096-616064600B06}"/>
    <hyperlink ref="H4" r:id="rId76" xr:uid="{D7BC261B-6510-49ED-A2C1-B15DFE1867BE}"/>
    <hyperlink ref="H89" r:id="rId77" xr:uid="{A8FA8C36-8743-46DF-9E21-2763D9CCEB14}"/>
    <hyperlink ref="O89" r:id="rId78" xr:uid="{18863AFC-F878-4977-A660-AA5820B20F78}"/>
    <hyperlink ref="H131" r:id="rId79" xr:uid="{873F7F5C-CB50-4E42-A3E0-2568B95D0AC5}"/>
    <hyperlink ref="J131" r:id="rId80" xr:uid="{D58ED779-A0C1-4DEA-B720-23B7655A5FA0}"/>
    <hyperlink ref="H129" r:id="rId81" xr:uid="{F1BB143C-3BB0-4B6E-8FBE-D51385B47EB3}"/>
    <hyperlink ref="J129" r:id="rId82" xr:uid="{974C48FB-F96F-42C5-8ACD-4E4E0BB955DE}"/>
    <hyperlink ref="H20" r:id="rId83" xr:uid="{10E9DF5B-AB37-499C-9B44-498DE91313A9}"/>
    <hyperlink ref="J20" r:id="rId84" xr:uid="{A90024EC-6D30-4B98-A419-BC9846B4A3B9}"/>
    <hyperlink ref="J21" r:id="rId85" xr:uid="{C7FA5C63-5190-4A11-A502-F36448027EE6}"/>
    <hyperlink ref="H21" r:id="rId86" display="https://www.opcinailidza.ba/uploads/files/shares/Elektronski_formulari/2021/socijalna 2/ZAHTJEV ZA PRIZNAVANJE PRAVA NA  JEDNOKRATNU NOV%C4%8CANU  POMO%C4%86 I SUFINANSIRANJE MEDICINSKI POTPOMOGNUTE OPLODNJE.pdf" xr:uid="{9D97D60E-D437-4A9F-A72A-2E3DC39DB8B3}"/>
    <hyperlink ref="N21" r:id="rId87" display="https://www.opcinailidza.ba/uploads/files/shares/Elektronski_formulari/2021/socijalna 2/ZAHTJEV ZA PRIZNAVANJE PRAVA NA  JEDNOKRATNU NOV%C4%8CANU  POMO%C4%86 I SUFINANSIRANJE MEDICINSKI POTPOMOGNUTE OPLODNJE.pdf" xr:uid="{CDE2AE3D-BF2A-4B7B-915B-E7BC749239B0}"/>
    <hyperlink ref="L21" r:id="rId88" display="https://www.opcinailidza.ba/uploads/files/shares/Elektronski_formulari/2021/socijalna 2/ZAHTJEV ZA PRIZNAVANJE PRAVA NA  JEDNOKRATNU NOV%C4%8CANU  POMO%C4%86 I SUFINANSIRANJE MEDICINSKI POTPOMOGNUTE OPLODNJE.pdf" xr:uid="{29A0BEBF-3244-4F00-BB64-B9683E31EB82}"/>
    <hyperlink ref="M21" r:id="rId89" display="https://www.opcinailidza.ba/uploads/files/shares/Elektronski_formulari/2021/socijalna 2/ZAHTJEV ZA PRIZNAVANJE PRAVA NA  JEDNOKRATNU NOV%C4%8CANU  POMO%C4%86 I SUFINANSIRANJE MEDICINSKI POTPOMOGNUTE OPLODNJE.pdf" xr:uid="{C7AE066E-2B4B-4C84-A8BE-B411CBCB8CB2}"/>
    <hyperlink ref="N20" r:id="rId90" display="https://www.opcinailidza.ba/uploads/files/shares/Elektronski_formulari/2021/socijalna 2/ZAHTJEV ZA PRIZNAVANJE PRAVA NA  JEDNOKRATNU NOV%C4%8CANU  POMO%C4%86 I SUFINANSIRANJE MEDICINSKI POTPOMOGNUTE OPLODNJE.pdf" xr:uid="{C6E897B8-A72C-4942-91B0-2DEF73465307}"/>
    <hyperlink ref="J172" r:id="rId91" xr:uid="{94C2D5C3-F9B1-4061-9969-5FBD0E7AD165}"/>
    <hyperlink ref="H62" r:id="rId92" xr:uid="{9B1A87F5-D95C-439F-950E-5A06B5D546C5}"/>
    <hyperlink ref="M62" r:id="rId93" xr:uid="{719B0856-D5CB-443F-9A7E-6F45CB825776}"/>
    <hyperlink ref="N62" r:id="rId94" xr:uid="{EF5A92F1-DAB0-41B1-815B-5A3D9DDAE3C4}"/>
    <hyperlink ref="H23" r:id="rId95" xr:uid="{40AD0427-37FC-4991-BF6E-4563355EEDC4}"/>
    <hyperlink ref="K137" r:id="rId96" xr:uid="{FF8A52E5-F525-4C20-8F01-7639E6AE41C1}"/>
    <hyperlink ref="J4" r:id="rId97" xr:uid="{9DA50354-8DA4-428F-84A5-5E464CC14CEC}"/>
    <hyperlink ref="H31" r:id="rId98" xr:uid="{A6957F08-ED56-43F8-82C1-FE07D253096B}"/>
    <hyperlink ref="H95" r:id="rId99" xr:uid="{36AC8854-B915-4C5E-8C4B-FDDBC3641641}"/>
    <hyperlink ref="H64" r:id="rId100" xr:uid="{FB0C7496-C5A5-42E6-9216-2E9F130A9B95}"/>
    <hyperlink ref="H138" r:id="rId101" xr:uid="{9085B55D-A65C-4CCD-B237-22E075C98C9B}"/>
    <hyperlink ref="J31" r:id="rId102" xr:uid="{1D10E108-0679-46B4-B10D-8DE782280833}"/>
    <hyperlink ref="J95" r:id="rId103" xr:uid="{E7ABD271-C1AA-4DCE-81AE-52184CD1D78F}"/>
    <hyperlink ref="J64" r:id="rId104" xr:uid="{839B46C7-28E3-4990-9EB7-F8979948EB1A}"/>
    <hyperlink ref="J138" r:id="rId105" xr:uid="{5C34C916-7AF3-412A-9A3D-E5F21642861B}"/>
    <hyperlink ref="J32" r:id="rId106" xr:uid="{AEFB5FF9-D724-49A3-8066-2421728E733B}"/>
    <hyperlink ref="J96" r:id="rId107" xr:uid="{087F4F85-005D-4E36-9954-45D566804382}"/>
    <hyperlink ref="H32" r:id="rId108" xr:uid="{7CEA435C-904F-481E-88A5-AB795D017DB6}"/>
    <hyperlink ref="H96" r:id="rId109" xr:uid="{1BF78CE1-2959-448E-A376-EABA25F943AB}"/>
    <hyperlink ref="H33" r:id="rId110" xr:uid="{293FD22B-0F0B-4334-9CD6-5CA28E691921}"/>
    <hyperlink ref="H97" r:id="rId111" xr:uid="{DDCE99C5-2544-4CE8-B096-DFE5B3E17456}"/>
    <hyperlink ref="M33" r:id="rId112" xr:uid="{47ADE661-B109-4138-8E0F-3B6BEAE754F0}"/>
    <hyperlink ref="M97" r:id="rId113" xr:uid="{6C676B7E-4265-4C72-856F-4A592BF3497D}"/>
    <hyperlink ref="N33" r:id="rId114" xr:uid="{73D13FA7-A48A-4F10-A6A7-DD4085A33A4E}"/>
    <hyperlink ref="N97" r:id="rId115" xr:uid="{B6DDBBE0-15DD-444D-90C9-52ED20A48CB9}"/>
    <hyperlink ref="J33" r:id="rId116" xr:uid="{CEAC7388-F2BA-4112-A4A8-8F2A4D845D3E}"/>
    <hyperlink ref="J97" r:id="rId117" xr:uid="{F8FEE4EF-E9B7-4187-B2C2-E183CBECA08D}"/>
    <hyperlink ref="J34" r:id="rId118" display="mirsada@kcsr.ba" xr:uid="{32CD85E4-B43C-4CD3-85C3-EDCDA879D805}"/>
    <hyperlink ref="J98" r:id="rId119" display="mirsada@kcsr.ba" xr:uid="{1C80DA7C-2F4A-4C8D-BA7A-DBB731A945B0}"/>
    <hyperlink ref="H34" r:id="rId120" xr:uid="{C4E7B87B-C913-441B-9839-7A600AF40852}"/>
    <hyperlink ref="H98" r:id="rId121" xr:uid="{C498C942-79B6-43D0-8740-13085DEAD991}"/>
    <hyperlink ref="J35" r:id="rId122" xr:uid="{13CCC664-E6B9-4883-8A8C-B0C082D18742}"/>
    <hyperlink ref="J99" r:id="rId123" xr:uid="{252921EC-138E-4865-9CE1-B82483AA374B}"/>
    <hyperlink ref="J65" r:id="rId124" xr:uid="{BD6A68E0-78A8-4F4D-99F1-8347B950229C}"/>
    <hyperlink ref="J139" r:id="rId125" xr:uid="{91189501-EEA4-407A-9FA7-8CB649C45C65}"/>
    <hyperlink ref="N35" r:id="rId126" xr:uid="{D7154377-508D-4A01-B70D-0C90176DAA07}"/>
    <hyperlink ref="N99" r:id="rId127" xr:uid="{6BEA30C8-978D-4F6E-8778-D2E586380F59}"/>
    <hyperlink ref="N65" r:id="rId128" xr:uid="{5DBBE8A1-057F-4F37-85F7-5AAF4BA7F366}"/>
    <hyperlink ref="N139" r:id="rId129" xr:uid="{1ABB3B5B-3A4F-4DB9-ABCF-F6A44E5A4B4E}"/>
    <hyperlink ref="H35" r:id="rId130" xr:uid="{A20F6F0E-08DD-49CE-A1FE-FE047AC85284}"/>
    <hyperlink ref="H99" r:id="rId131" xr:uid="{DA6C37A0-BA4A-47FA-B8A6-4793D5854285}"/>
    <hyperlink ref="H65" r:id="rId132" xr:uid="{792C642D-10B5-4534-BBC6-65A959F14440}"/>
    <hyperlink ref="H139" r:id="rId133" xr:uid="{A18CD300-B4C2-43E0-90E6-055012B3438F}"/>
    <hyperlink ref="J36" r:id="rId134" xr:uid="{016E369D-BEFE-4757-842F-178F7ADCF9C3}"/>
    <hyperlink ref="J100" r:id="rId135" xr:uid="{03AC706B-A7A2-4764-BB07-7401323CAB59}"/>
    <hyperlink ref="J66" r:id="rId136" xr:uid="{54A2534F-762F-40FF-8F9C-4D7E1F35D611}"/>
    <hyperlink ref="J140" r:id="rId137" xr:uid="{7AC14B38-E07C-4480-80F3-46D6C6D5A680}"/>
    <hyperlink ref="H36" r:id="rId138" xr:uid="{B272236E-B726-491C-B01B-BEF504E19358}"/>
    <hyperlink ref="H100" r:id="rId139" xr:uid="{31CEC391-F7FD-49C5-BDBF-162CBC8748AE}"/>
    <hyperlink ref="H66" r:id="rId140" xr:uid="{93BF6B15-151C-48ED-8F0C-431E2FEB9950}"/>
    <hyperlink ref="H140" r:id="rId141" xr:uid="{90ADD9FC-3BDA-4796-AA29-5F86F2C83345}"/>
    <hyperlink ref="J37" r:id="rId142" xr:uid="{92ACD8BF-1F73-497F-84A4-B58C426AF132}"/>
    <hyperlink ref="J101" r:id="rId143" xr:uid="{CC49A582-7810-4202-BAED-B1046761087F}"/>
    <hyperlink ref="J67" r:id="rId144" xr:uid="{72708B5E-ED8A-40D6-B48C-C1EEAAB15584}"/>
    <hyperlink ref="J141" r:id="rId145" xr:uid="{E1193E49-F38A-454D-9844-52378A019463}"/>
    <hyperlink ref="H37" r:id="rId146" xr:uid="{86F10594-038C-4610-B9EC-31416EA524BF}"/>
    <hyperlink ref="H101" r:id="rId147" xr:uid="{828C07B9-38AC-40BF-B4DE-981252BAC91F}"/>
    <hyperlink ref="H67" r:id="rId148" xr:uid="{95085706-0601-42DA-BB84-391DC8CD2D07}"/>
    <hyperlink ref="H141" r:id="rId149" xr:uid="{405B360E-67F4-41F6-BECD-24101F3B1153}"/>
    <hyperlink ref="J38" r:id="rId150" xr:uid="{8457C7F0-3167-463C-A839-305A1E84A55D}"/>
    <hyperlink ref="J102" r:id="rId151" xr:uid="{D34382E5-80A5-4DDC-A7AF-1BCF34E5A3B5}"/>
    <hyperlink ref="J68" r:id="rId152" xr:uid="{0B706A07-B0D4-4A38-B8DB-524D7B1EEC23}"/>
    <hyperlink ref="J142" r:id="rId153" xr:uid="{A891898C-96ED-4842-9E42-0C4648DFCFBA}"/>
    <hyperlink ref="H38" r:id="rId154" xr:uid="{9B0F4E76-6EB5-4FE3-83F3-2175405764C1}"/>
    <hyperlink ref="H102" r:id="rId155" xr:uid="{77CDD965-68B8-4071-B09A-9DFD73B6BDE9}"/>
    <hyperlink ref="H68" r:id="rId156" xr:uid="{B87EA940-1EC9-40F6-8AD2-44AF1941D178}"/>
    <hyperlink ref="H142" r:id="rId157" xr:uid="{95BAD93F-E29A-48FE-A467-6A0459968C8C}"/>
    <hyperlink ref="M39" r:id="rId158" xr:uid="{8B1EE51C-E061-4277-87D9-62782624E310}"/>
    <hyperlink ref="M103" r:id="rId159" xr:uid="{E83AADA7-8B78-4D2E-8C05-7E75CF7812B0}"/>
    <hyperlink ref="M69" r:id="rId160" xr:uid="{6864DD3F-6A13-4430-8C59-728B9D7EEBB3}"/>
    <hyperlink ref="M143" r:id="rId161" xr:uid="{FA090B81-818B-4F70-A680-7E284B71A9B1}"/>
    <hyperlink ref="N39" r:id="rId162" xr:uid="{AA769151-FF6E-4D84-BA73-A4944104C811}"/>
    <hyperlink ref="N103" r:id="rId163" xr:uid="{12F92E74-C060-4BFF-8330-B49A5042124B}"/>
    <hyperlink ref="N69" r:id="rId164" xr:uid="{F9FB98F9-F94C-463D-AAD7-C4C0905E343C}"/>
    <hyperlink ref="N143" r:id="rId165" xr:uid="{F43A5AAD-B023-476D-BA03-B4B6C1F3A9CC}"/>
    <hyperlink ref="H39" r:id="rId166" xr:uid="{8920DEA4-8EF1-41C1-AEF4-EFA812632AED}"/>
    <hyperlink ref="H103" r:id="rId167" xr:uid="{95FBC832-827C-4DC1-A7F7-FA7AC70E39C5}"/>
    <hyperlink ref="H69" r:id="rId168" xr:uid="{A00037FB-7F65-4371-97EB-8B3BFC7FAE7B}"/>
    <hyperlink ref="H143" r:id="rId169" xr:uid="{6E1573FD-2DDB-42E5-AE3D-FDB1B1BC7885}"/>
    <hyperlink ref="J39" r:id="rId170" xr:uid="{5F4E4431-734E-4E9C-99DB-3FF9F2607A63}"/>
    <hyperlink ref="J103" r:id="rId171" xr:uid="{BD382A69-C751-4657-99DD-68C1F863B420}"/>
    <hyperlink ref="J69" r:id="rId172" xr:uid="{6EBCA165-F07A-4091-A2C1-39DC8D5187FE}"/>
    <hyperlink ref="J143" r:id="rId173" xr:uid="{696F75E7-B8E1-4CA0-BAD6-9A02C514384B}"/>
    <hyperlink ref="H40" r:id="rId174" xr:uid="{8DA425BD-A140-4CA9-932E-2BB0BF620DBB}"/>
    <hyperlink ref="H104" r:id="rId175" xr:uid="{C3F89E62-075C-4DE8-99E5-A002C8BCD6A3}"/>
    <hyperlink ref="H70" r:id="rId176" xr:uid="{EB7A4C1C-F401-4EC3-8459-12A2F7EDBF6B}"/>
    <hyperlink ref="H144" r:id="rId177" xr:uid="{1313E300-F504-4507-8BEC-A48BC1C737F1}"/>
    <hyperlink ref="N40" r:id="rId178" xr:uid="{C5C81939-28C2-4C1A-A77F-57AF14898C33}"/>
    <hyperlink ref="N104" r:id="rId179" xr:uid="{682B29BC-B80C-4F9F-A1F6-F08DBDCC6954}"/>
    <hyperlink ref="N70" r:id="rId180" xr:uid="{2FB2ACFA-A2D6-4092-B793-05FACC3A20CC}"/>
    <hyperlink ref="N144" r:id="rId181" xr:uid="{66C52808-46A6-4D2A-984F-E6F4DD730633}"/>
    <hyperlink ref="M40" r:id="rId182" xr:uid="{1AAB99FA-DF4B-4F84-AD64-289B44D580EA}"/>
    <hyperlink ref="M104" r:id="rId183" xr:uid="{699E5647-040D-49F0-8E80-A6F22438614E}"/>
    <hyperlink ref="M70" r:id="rId184" xr:uid="{DAA4E4BC-08C9-4BB2-940C-9A20C6B501E7}"/>
    <hyperlink ref="M144" r:id="rId185" xr:uid="{63E7AA70-D0DC-4898-A1D5-039180071196}"/>
    <hyperlink ref="J40" r:id="rId186" xr:uid="{2671F82F-6420-4565-91C7-18261A89572C}"/>
    <hyperlink ref="J104" r:id="rId187" xr:uid="{0D2AF604-1695-4CBC-9E76-EE8C64D91199}"/>
    <hyperlink ref="J70" r:id="rId188" xr:uid="{0664525B-9341-4886-877A-4C3E4FB8D816}"/>
    <hyperlink ref="J144" r:id="rId189" xr:uid="{E8ACB2E5-2828-42FF-8E1B-F86C5CD01006}"/>
    <hyperlink ref="H41" r:id="rId190" xr:uid="{82AC4C96-518D-43EE-B69A-242B32B39360}"/>
    <hyperlink ref="H105" r:id="rId191" xr:uid="{852927F6-36FE-4CFD-9DBE-3993A4FED63E}"/>
    <hyperlink ref="H71" r:id="rId192" xr:uid="{62BA9DF4-7352-41ED-AF73-EC9DC04D9AE7}"/>
    <hyperlink ref="H145" r:id="rId193" xr:uid="{17835A52-1C0C-40DC-9574-9C272B53A9D4}"/>
    <hyperlink ref="M41" r:id="rId194" xr:uid="{A46B9149-20B4-4B3D-951B-51F0BD2ECF49}"/>
    <hyperlink ref="M105" r:id="rId195" xr:uid="{2CDAD70D-97E1-4A08-95C7-38553AE5B6F3}"/>
    <hyperlink ref="M71" r:id="rId196" xr:uid="{51FB9682-2D2A-4DA8-A5B2-130AABE8A0E2}"/>
    <hyperlink ref="M145" r:id="rId197" xr:uid="{1F62307B-2C1B-4E83-805C-A9764D382B6D}"/>
    <hyperlink ref="N41" r:id="rId198" xr:uid="{4F772A45-3652-488B-9CC4-D4ED85021A2E}"/>
    <hyperlink ref="N105" r:id="rId199" xr:uid="{9D926EA0-1C8D-4ACE-A39E-D5F395760259}"/>
    <hyperlink ref="N71" r:id="rId200" xr:uid="{08D6B0F0-2862-4DF0-BE74-A6C97051595D}"/>
    <hyperlink ref="N145" r:id="rId201" xr:uid="{8053FDF4-8EE4-4D56-81A4-ADDBFE117188}"/>
    <hyperlink ref="H42" r:id="rId202" xr:uid="{1E836BE4-C9FA-429B-964C-96C2DB3E3A53}"/>
    <hyperlink ref="H106" r:id="rId203" xr:uid="{1BF7DC20-819A-4BC2-8B0C-69064F018348}"/>
    <hyperlink ref="H72" r:id="rId204" xr:uid="{F54FA196-FC65-460F-A88B-25403088FEB7}"/>
    <hyperlink ref="H146" r:id="rId205" xr:uid="{9451B5E0-FF34-43D3-8DDA-FF86C908A8C0}"/>
    <hyperlink ref="J42" r:id="rId206" xr:uid="{69A81064-2F2D-4400-A3BB-AD559F5609B9}"/>
    <hyperlink ref="J106" r:id="rId207" xr:uid="{620241EC-CBCE-4EFC-BB3A-665DF6C70590}"/>
    <hyperlink ref="J72" r:id="rId208" xr:uid="{3E335383-6B71-4DBE-B715-D13E48E7624A}"/>
    <hyperlink ref="J146" r:id="rId209" xr:uid="{B0D49D8C-5C3C-4019-B8DE-1434D00C5F77}"/>
    <hyperlink ref="M42" r:id="rId210" xr:uid="{F82492F3-6B14-4BE7-868C-B51D37726143}"/>
    <hyperlink ref="M106" r:id="rId211" xr:uid="{E0DE17BD-FC25-42CE-83AF-6C0ABB4B2B31}"/>
    <hyperlink ref="M72" r:id="rId212" xr:uid="{A9A43274-82BA-46B7-A2FE-0F1F8CD20A91}"/>
    <hyperlink ref="M146" r:id="rId213" xr:uid="{11D8D910-49DC-40D8-B7D8-A91BAAE0ACFD}"/>
    <hyperlink ref="N42" r:id="rId214" xr:uid="{BABFBAFE-D776-4009-8947-AAFE9EB1F62A}"/>
    <hyperlink ref="N106" r:id="rId215" xr:uid="{23ED259A-170F-4090-99A7-7D1443CBC3BC}"/>
    <hyperlink ref="N72" r:id="rId216" xr:uid="{675EFE18-ECC0-4013-B66A-44C8A86E626E}"/>
    <hyperlink ref="N146" r:id="rId217" xr:uid="{E51C45A4-6B92-41DE-8CF4-4BBCE9D3302E}"/>
    <hyperlink ref="H48" r:id="rId218" xr:uid="{B3ADBC61-064C-4E59-B03A-64EA7DE98463}"/>
    <hyperlink ref="H112" r:id="rId219" xr:uid="{48D8F8EE-3ED5-4D28-8548-B5A41B42DAF7}"/>
    <hyperlink ref="H75" r:id="rId220" xr:uid="{AAF91924-EE1A-4E8F-A864-EB570F2114B7}"/>
    <hyperlink ref="H149" r:id="rId221" xr:uid="{66CB07C6-CE94-40E4-A7D6-7D3992B4CFA1}"/>
    <hyperlink ref="J48" r:id="rId222" xr:uid="{D98062AD-667C-47A3-B9A3-32F33CAF925B}"/>
    <hyperlink ref="J112" r:id="rId223" xr:uid="{8586AC83-B425-41C9-999E-D2C1558C1CF3}"/>
    <hyperlink ref="J75" r:id="rId224" xr:uid="{6B54D783-2BEF-479F-B95A-F2B217340636}"/>
    <hyperlink ref="J149" r:id="rId225" xr:uid="{194003F4-3960-4E90-926B-93079A4D32E8}"/>
    <hyperlink ref="N48" r:id="rId226" display="https://www.opcinailidza.ba/uploads/files/shares/Elektronski_formulari/2021/socijalna 2/ZAHTJEV ZA PRIZNAVANJE PRAVA NA  JEDNOKRATNU NOV%C4%8CANU  POMO%C4%86 I SUFINANSIRANJE MEDICINSKI POTPOMOGNUTE OPLODNJE.pdf" xr:uid="{C9C71FF0-41AE-4402-B20A-0E3F3C77DC5E}"/>
    <hyperlink ref="N112" r:id="rId227" display="https://www.opcinailidza.ba/uploads/files/shares/Elektronski_formulari/2021/socijalna 2/ZAHTJEV ZA PRIZNAVANJE PRAVA NA  JEDNOKRATNU NOV%C4%8CANU  POMO%C4%86 I SUFINANSIRANJE MEDICINSKI POTPOMOGNUTE OPLODNJE.pdf" xr:uid="{91DAAF40-A312-4A2C-9ED1-B868ED98A8FB}"/>
    <hyperlink ref="N75" r:id="rId228" display="https://www.opcinailidza.ba/uploads/files/shares/Elektronski_formulari/2021/socijalna 2/ZAHTJEV ZA PRIZNAVANJE PRAVA NA  JEDNOKRATNU NOV%C4%8CANU  POMO%C4%86 I SUFINANSIRANJE MEDICINSKI POTPOMOGNUTE OPLODNJE.pdf" xr:uid="{FB1381D2-23F4-44A3-A3B3-4439AB7788E6}"/>
    <hyperlink ref="N149" r:id="rId229" display="https://www.opcinailidza.ba/uploads/files/shares/Elektronski_formulari/2021/socijalna 2/ZAHTJEV ZA PRIZNAVANJE PRAVA NA  JEDNOKRATNU NOV%C4%8CANU  POMO%C4%86 I SUFINANSIRANJE MEDICINSKI POTPOMOGNUTE OPLODNJE.pdf" xr:uid="{9D5533E5-44FE-44DF-B267-7DE41062DF62}"/>
    <hyperlink ref="J49" r:id="rId230" xr:uid="{8328326A-22DE-47CF-9F35-A08F0C7519D7}"/>
    <hyperlink ref="J113" r:id="rId231" xr:uid="{B37080D0-9D51-485A-B3EF-0CBDE7090177}"/>
    <hyperlink ref="J76" r:id="rId232" xr:uid="{DDC88E9F-88A9-4A0A-B2F5-2247A4D4620A}"/>
    <hyperlink ref="J150" r:id="rId233" xr:uid="{856C1963-9328-4136-9879-9785F73E31EA}"/>
    <hyperlink ref="H49" r:id="rId234" display="https://www.opcinailidza.ba/uploads/files/shares/Elektronski_formulari/2021/socijalna 2/ZAHTJEV ZA PRIZNAVANJE PRAVA NA  JEDNOKRATNU NOV%C4%8CANU  POMO%C4%86 I SUFINANSIRANJE MEDICINSKI POTPOMOGNUTE OPLODNJE.pdf" xr:uid="{F2406B81-A7C1-467A-8BD9-DABACDCA479A}"/>
    <hyperlink ref="H113" r:id="rId235" display="https://www.opcinailidza.ba/uploads/files/shares/Elektronski_formulari/2021/socijalna 2/ZAHTJEV ZA PRIZNAVANJE PRAVA NA  JEDNOKRATNU NOV%C4%8CANU  POMO%C4%86 I SUFINANSIRANJE MEDICINSKI POTPOMOGNUTE OPLODNJE.pdf" xr:uid="{E3100278-995B-4904-BE1A-785EA5CDF03D}"/>
    <hyperlink ref="H76" r:id="rId236" display="https://www.opcinailidza.ba/uploads/files/shares/Elektronski_formulari/2021/socijalna 2/ZAHTJEV ZA PRIZNAVANJE PRAVA NA  JEDNOKRATNU NOV%C4%8CANU  POMO%C4%86 I SUFINANSIRANJE MEDICINSKI POTPOMOGNUTE OPLODNJE.pdf" xr:uid="{5ECD1213-7CE4-4DEB-8FBD-43275474912A}"/>
    <hyperlink ref="H150" r:id="rId237" display="https://www.opcinailidza.ba/uploads/files/shares/Elektronski_formulari/2021/socijalna 2/ZAHTJEV ZA PRIZNAVANJE PRAVA NA  JEDNOKRATNU NOV%C4%8CANU  POMO%C4%86 I SUFINANSIRANJE MEDICINSKI POTPOMOGNUTE OPLODNJE.pdf" xr:uid="{A7F9598F-9F5C-4023-B1AD-4984720C44D8}"/>
    <hyperlink ref="N49" r:id="rId238" display="https://www.opcinailidza.ba/uploads/files/shares/Elektronski_formulari/2021/socijalna 2/ZAHTJEV ZA PRIZNAVANJE PRAVA NA  JEDNOKRATNU NOV%C4%8CANU  POMO%C4%86 I SUFINANSIRANJE MEDICINSKI POTPOMOGNUTE OPLODNJE.pdf" xr:uid="{C6339B86-F4CB-4FFA-B01E-FF22CA7F345C}"/>
    <hyperlink ref="N113" r:id="rId239" display="https://www.opcinailidza.ba/uploads/files/shares/Elektronski_formulari/2021/socijalna 2/ZAHTJEV ZA PRIZNAVANJE PRAVA NA  JEDNOKRATNU NOV%C4%8CANU  POMO%C4%86 I SUFINANSIRANJE MEDICINSKI POTPOMOGNUTE OPLODNJE.pdf" xr:uid="{182B3028-646F-442D-95CB-3EE908EC6187}"/>
    <hyperlink ref="N76" r:id="rId240" display="https://www.opcinailidza.ba/uploads/files/shares/Elektronski_formulari/2021/socijalna 2/ZAHTJEV ZA PRIZNAVANJE PRAVA NA  JEDNOKRATNU NOV%C4%8CANU  POMO%C4%86 I SUFINANSIRANJE MEDICINSKI POTPOMOGNUTE OPLODNJE.pdf" xr:uid="{A5B3987A-5F13-41B1-9510-0777D0410FE4}"/>
    <hyperlink ref="N150" r:id="rId241" display="https://www.opcinailidza.ba/uploads/files/shares/Elektronski_formulari/2021/socijalna 2/ZAHTJEV ZA PRIZNAVANJE PRAVA NA  JEDNOKRATNU NOV%C4%8CANU  POMO%C4%86 I SUFINANSIRANJE MEDICINSKI POTPOMOGNUTE OPLODNJE.pdf" xr:uid="{C5C0298B-AB2E-4B6B-8FA7-851EAAEDE69E}"/>
    <hyperlink ref="L49" r:id="rId242" display="https://www.opcinailidza.ba/uploads/files/shares/Elektronski_formulari/2021/socijalna 2/ZAHTJEV ZA PRIZNAVANJE PRAVA NA  JEDNOKRATNU NOV%C4%8CANU  POMO%C4%86 I SUFINANSIRANJE MEDICINSKI POTPOMOGNUTE OPLODNJE.pdf" xr:uid="{922FBD8F-54F8-416D-8ECB-B93B285934CC}"/>
    <hyperlink ref="L113" r:id="rId243" display="https://www.opcinailidza.ba/uploads/files/shares/Elektronski_formulari/2021/socijalna 2/ZAHTJEV ZA PRIZNAVANJE PRAVA NA  JEDNOKRATNU NOV%C4%8CANU  POMO%C4%86 I SUFINANSIRANJE MEDICINSKI POTPOMOGNUTE OPLODNJE.pdf" xr:uid="{1B277B56-5166-4C86-BBCF-DAFE1009CF9B}"/>
    <hyperlink ref="L76" r:id="rId244" display="https://www.opcinailidza.ba/uploads/files/shares/Elektronski_formulari/2021/socijalna 2/ZAHTJEV ZA PRIZNAVANJE PRAVA NA  JEDNOKRATNU NOV%C4%8CANU  POMO%C4%86 I SUFINANSIRANJE MEDICINSKI POTPOMOGNUTE OPLODNJE.pdf" xr:uid="{2A051A2F-9C8B-4057-A421-58DEE3F07474}"/>
    <hyperlink ref="L150" r:id="rId245" display="https://www.opcinailidza.ba/uploads/files/shares/Elektronski_formulari/2021/socijalna 2/ZAHTJEV ZA PRIZNAVANJE PRAVA NA  JEDNOKRATNU NOV%C4%8CANU  POMO%C4%86 I SUFINANSIRANJE MEDICINSKI POTPOMOGNUTE OPLODNJE.pdf" xr:uid="{936A2903-F00C-4639-83FC-D982703F4229}"/>
    <hyperlink ref="M49" r:id="rId246" display="https://www.opcinailidza.ba/uploads/files/shares/Elektronski_formulari/2021/socijalna 2/ZAHTJEV ZA PRIZNAVANJE PRAVA NA  JEDNOKRATNU NOV%C4%8CANU  POMO%C4%86 I SUFINANSIRANJE MEDICINSKI POTPOMOGNUTE OPLODNJE.pdf" xr:uid="{A97314C4-A4B1-4944-A145-352635D93565}"/>
    <hyperlink ref="M113" r:id="rId247" display="https://www.opcinailidza.ba/uploads/files/shares/Elektronski_formulari/2021/socijalna 2/ZAHTJEV ZA PRIZNAVANJE PRAVA NA  JEDNOKRATNU NOV%C4%8CANU  POMO%C4%86 I SUFINANSIRANJE MEDICINSKI POTPOMOGNUTE OPLODNJE.pdf" xr:uid="{CFE13A26-CFF5-416E-9DD2-1EB66411B131}"/>
    <hyperlink ref="M76" r:id="rId248" display="https://www.opcinailidza.ba/uploads/files/shares/Elektronski_formulari/2021/socijalna 2/ZAHTJEV ZA PRIZNAVANJE PRAVA NA  JEDNOKRATNU NOV%C4%8CANU  POMO%C4%86 I SUFINANSIRANJE MEDICINSKI POTPOMOGNUTE OPLODNJE.pdf" xr:uid="{8597AEA7-10F1-40A5-828A-D4FF05EC2EFF}"/>
    <hyperlink ref="M150" r:id="rId249" display="https://www.opcinailidza.ba/uploads/files/shares/Elektronski_formulari/2021/socijalna 2/ZAHTJEV ZA PRIZNAVANJE PRAVA NA  JEDNOKRATNU NOV%C4%8CANU  POMO%C4%86 I SUFINANSIRANJE MEDICINSKI POTPOMOGNUTE OPLODNJE.pdf" xr:uid="{386195ED-8902-4F87-BD89-D1B15C507A2C}"/>
    <hyperlink ref="H51" r:id="rId250" xr:uid="{69B066DE-D330-4AB7-B022-4A0BAA75EE9E}"/>
    <hyperlink ref="H115" r:id="rId251" xr:uid="{686BB33A-6751-49CB-BDFC-FC7981E14342}"/>
    <hyperlink ref="H78" r:id="rId252" xr:uid="{DD75A687-9078-4454-8BF6-4FC7B8DC53B5}"/>
    <hyperlink ref="H152" r:id="rId253" xr:uid="{BE8D926B-403D-4BDD-96F8-DAA45AD98657}"/>
    <hyperlink ref="H122" r:id="rId254" xr:uid="{73C84C99-217C-4BB2-A431-5F7D332BDAEF}"/>
    <hyperlink ref="J122" r:id="rId255" xr:uid="{024E0856-A6A7-4F8E-A692-AC7DA4E02B18}"/>
    <hyperlink ref="N123" r:id="rId256"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07BCAC24-0BDD-40B4-BB94-D7FF070AA4BE}"/>
    <hyperlink ref="H123" r:id="rId257" xr:uid="{F2EECE9B-C8E1-45ED-BD8A-E8135040EA15}"/>
    <hyperlink ref="H124" r:id="rId258" xr:uid="{5E0BE31B-7BBB-4150-BFFD-8D7BDFE586B8}"/>
    <hyperlink ref="J124" r:id="rId259" xr:uid="{B99D7004-1EC1-457C-BB88-BD2688223E4C}"/>
    <hyperlink ref="N124" r:id="rId260" xr:uid="{8791D618-1FF8-4486-9277-045D0CE9FAC7}"/>
    <hyperlink ref="H125" r:id="rId261" xr:uid="{9B8CA47D-EFF4-4F1A-AB25-9AC6940032CC}"/>
    <hyperlink ref="M125" r:id="rId262" xr:uid="{A24CA8DA-3E16-4A66-9597-575C23D9351B}"/>
    <hyperlink ref="N125" r:id="rId263" xr:uid="{1C2038F5-C3D5-4FAF-84F4-A1846960C07C}"/>
    <hyperlink ref="N159" r:id="rId264" xr:uid="{DBD1CB63-9CAE-4525-A38A-B2E551BA14AE}"/>
    <hyperlink ref="H159" r:id="rId265" xr:uid="{9C9EBC21-EDBD-4C2D-BE1C-890D6A11399E}"/>
    <hyperlink ref="O159" r:id="rId266" xr:uid="{986199F9-7671-47C3-91B9-619E1C23B99A}"/>
    <hyperlink ref="M160" r:id="rId267" xr:uid="{14A0CB4A-0BC0-40A3-B227-5FB3B9DB1F1F}"/>
    <hyperlink ref="N160" r:id="rId268" xr:uid="{8B69642D-212F-4427-AE9F-0C7A49C9B22D}"/>
    <hyperlink ref="J160" r:id="rId269" xr:uid="{1D5854DF-5B4E-4F9A-9E01-D5C83B38A5B5}"/>
    <hyperlink ref="H160" r:id="rId270" xr:uid="{0B79F91D-148A-40DC-9213-A5D2C9120948}"/>
    <hyperlink ref="J63" r:id="rId271" xr:uid="{8D0A0BFE-C406-41B1-B833-DD2BC9FEF1B6}"/>
    <hyperlink ref="J136" r:id="rId272" xr:uid="{5298BE3B-236F-4F1F-984A-1B94B0028AD6}"/>
    <hyperlink ref="J92" r:id="rId273" xr:uid="{A7EFE455-1D68-47F7-9788-BC75298DD324}"/>
    <hyperlink ref="J173" r:id="rId274" xr:uid="{DAF92567-0FD8-4E38-9623-C716775C8957}"/>
    <hyperlink ref="K94" r:id="rId275" xr:uid="{FC37CCD4-E6B0-4700-AE3F-DA033A91DF11}"/>
    <hyperlink ref="K175" r:id="rId276" xr:uid="{3DE062D8-80C5-4FCA-A3B0-FFC139A1442C}"/>
    <hyperlink ref="J164" r:id="rId277" xr:uid="{1E88712F-884B-47B5-9EF9-03886CF88231}"/>
  </hyperlinks>
  <pageMargins left="0.7" right="0.7" top="0.75" bottom="0.75" header="0.3" footer="0.3"/>
  <legacyDrawing r:id="rId278"/>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6F9DAC4-0985-418C-83DB-43AF7A2EB09B}">
          <x14:formula1>
            <xm:f>Sheet2!$C$2:$C$22</xm:f>
          </x14:formula1>
          <xm:sqref>E173:E175 E144 E2:E125 E147 E149:E152 E135:E138 E161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157FB-72B3-4C4B-85B7-17A5CFA382E2}">
  <dimension ref="A1:C20"/>
  <sheetViews>
    <sheetView workbookViewId="0">
      <selection activeCell="A16" sqref="A16"/>
    </sheetView>
  </sheetViews>
  <sheetFormatPr defaultRowHeight="14.4"/>
  <cols>
    <col min="1" max="1" width="48" bestFit="1" customWidth="1"/>
  </cols>
  <sheetData>
    <row r="1" spans="1:3" ht="15">
      <c r="A1" s="109" t="s">
        <v>77</v>
      </c>
      <c r="B1" t="s">
        <v>562</v>
      </c>
      <c r="C1" t="s">
        <v>563</v>
      </c>
    </row>
    <row r="2" spans="1:3">
      <c r="A2" s="149" t="s">
        <v>170</v>
      </c>
      <c r="B2">
        <v>43.858553000000001</v>
      </c>
      <c r="C2">
        <v>18.402099609375</v>
      </c>
    </row>
    <row r="3" spans="1:3">
      <c r="A3" s="149" t="s">
        <v>295</v>
      </c>
      <c r="B3">
        <v>43.857349450000001</v>
      </c>
      <c r="C3">
        <v>18.413135847170199</v>
      </c>
    </row>
    <row r="4" spans="1:3">
      <c r="A4" s="149" t="s">
        <v>174</v>
      </c>
      <c r="B4">
        <v>43.829455600000003</v>
      </c>
      <c r="C4">
        <v>18.310951865680199</v>
      </c>
    </row>
    <row r="5" spans="1:3">
      <c r="A5" s="149" t="s">
        <v>277</v>
      </c>
      <c r="B5">
        <v>43.847950949999998</v>
      </c>
      <c r="C5">
        <v>18.3536972495775</v>
      </c>
    </row>
    <row r="6" spans="1:3">
      <c r="A6" s="149" t="s">
        <v>188</v>
      </c>
      <c r="B6">
        <v>43.852587649999997</v>
      </c>
      <c r="C6">
        <v>18.3816443990954</v>
      </c>
    </row>
    <row r="7" spans="1:3">
      <c r="A7" s="150" t="s">
        <v>421</v>
      </c>
      <c r="B7">
        <v>43.85633</v>
      </c>
      <c r="C7">
        <v>18.384492399999999</v>
      </c>
    </row>
    <row r="8" spans="1:3">
      <c r="A8" s="149" t="s">
        <v>304</v>
      </c>
      <c r="B8">
        <v>43.857349450000001</v>
      </c>
      <c r="C8">
        <v>18.413135847170199</v>
      </c>
    </row>
    <row r="9" spans="1:3">
      <c r="A9" s="149" t="s">
        <v>234</v>
      </c>
      <c r="B9">
        <v>43.8671705</v>
      </c>
      <c r="C9">
        <v>18.413270799999999</v>
      </c>
    </row>
    <row r="10" spans="1:3">
      <c r="A10" t="s">
        <v>313</v>
      </c>
      <c r="B10">
        <v>43.833867749999897</v>
      </c>
      <c r="C10">
        <v>18.3318392646853</v>
      </c>
    </row>
    <row r="11" spans="1:3">
      <c r="A11" t="s">
        <v>102</v>
      </c>
      <c r="B11">
        <v>43.899231149999999</v>
      </c>
      <c r="C11">
        <v>18.4151610950864</v>
      </c>
    </row>
    <row r="12" spans="1:3">
      <c r="A12" t="s">
        <v>257</v>
      </c>
      <c r="B12">
        <v>43.857481149999998</v>
      </c>
      <c r="C12">
        <v>18.416157265859901</v>
      </c>
    </row>
    <row r="13" spans="1:3">
      <c r="A13" t="s">
        <v>126</v>
      </c>
      <c r="B13">
        <v>43.851796999999998</v>
      </c>
      <c r="C13">
        <v>18.3827719453942</v>
      </c>
    </row>
    <row r="14" spans="1:3">
      <c r="A14" t="s">
        <v>265</v>
      </c>
      <c r="B14">
        <v>43.857349450000001</v>
      </c>
      <c r="C14">
        <v>18.413135847170199</v>
      </c>
    </row>
    <row r="15" spans="1:3">
      <c r="A15" t="s">
        <v>285</v>
      </c>
      <c r="B15">
        <v>43.857201400000001</v>
      </c>
      <c r="C15">
        <v>18.413743400000001</v>
      </c>
    </row>
    <row r="16" spans="1:3">
      <c r="A16" t="s">
        <v>90</v>
      </c>
      <c r="B16">
        <v>43.85633</v>
      </c>
      <c r="C16">
        <v>18.384492399999999</v>
      </c>
    </row>
    <row r="17" spans="1:3">
      <c r="A17" t="s">
        <v>213</v>
      </c>
      <c r="B17">
        <v>43.84666275</v>
      </c>
      <c r="C17">
        <v>18.354620012764201</v>
      </c>
    </row>
    <row r="18" spans="1:3">
      <c r="A18" t="s">
        <v>112</v>
      </c>
      <c r="B18">
        <v>43.843953499999998</v>
      </c>
      <c r="C18">
        <v>18.358142300000001</v>
      </c>
    </row>
    <row r="19" spans="1:3">
      <c r="A19" t="s">
        <v>243</v>
      </c>
      <c r="B19">
        <v>43.85358815</v>
      </c>
      <c r="C19">
        <v>18.394800338932299</v>
      </c>
    </row>
    <row r="20" spans="1:3">
      <c r="A20" t="s">
        <v>119</v>
      </c>
      <c r="B20">
        <v>43.856848849999999</v>
      </c>
      <c r="C20">
        <v>18.384989102369499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8CEF-B1A5-4F52-AFAF-57F34C0EBCF1}">
  <sheetPr codeName="Sheet1"/>
  <dimension ref="A1"/>
  <sheetViews>
    <sheetView showGridLines="0" zoomScale="88" zoomScaleNormal="115" workbookViewId="0"/>
  </sheetViews>
  <sheetFormatPr defaultColWidth="8.88671875"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E9750-F5D3-4D85-9C68-E88E476AEE21}">
  <sheetPr codeName="Sheet15"/>
  <dimension ref="B1:U28"/>
  <sheetViews>
    <sheetView showGridLines="0" zoomScale="77" workbookViewId="0"/>
  </sheetViews>
  <sheetFormatPr defaultRowHeight="14.4"/>
  <cols>
    <col min="18" max="18" width="10.33203125" customWidth="1"/>
  </cols>
  <sheetData>
    <row r="1" spans="2:21" ht="32.4" customHeight="1"/>
    <row r="2" spans="2:21">
      <c r="B2" s="154" t="s">
        <v>357</v>
      </c>
      <c r="C2" s="154"/>
      <c r="D2" s="154"/>
      <c r="E2" s="154"/>
      <c r="F2" s="154"/>
      <c r="G2" s="154"/>
      <c r="H2" s="154"/>
      <c r="I2" s="154"/>
      <c r="J2" s="154"/>
      <c r="K2" s="154"/>
      <c r="L2" s="154"/>
      <c r="M2" s="154"/>
      <c r="N2" s="154"/>
      <c r="O2" s="154"/>
      <c r="P2" s="154"/>
      <c r="Q2" s="154"/>
      <c r="R2" s="154"/>
      <c r="S2" s="154"/>
      <c r="T2" s="154"/>
      <c r="U2" s="154"/>
    </row>
    <row r="3" spans="2:21">
      <c r="B3" s="154"/>
      <c r="C3" s="154"/>
      <c r="D3" s="154"/>
      <c r="E3" s="154"/>
      <c r="F3" s="154"/>
      <c r="G3" s="154"/>
      <c r="H3" s="154"/>
      <c r="I3" s="154"/>
      <c r="J3" s="154"/>
      <c r="K3" s="154"/>
      <c r="L3" s="154"/>
      <c r="M3" s="154"/>
      <c r="N3" s="154"/>
      <c r="O3" s="154"/>
      <c r="P3" s="154"/>
      <c r="Q3" s="154"/>
      <c r="R3" s="154"/>
      <c r="S3" s="154"/>
      <c r="T3" s="154"/>
      <c r="U3" s="154"/>
    </row>
    <row r="6" spans="2:21">
      <c r="B6" s="155" t="s">
        <v>358</v>
      </c>
      <c r="C6" s="156"/>
      <c r="D6" s="156"/>
      <c r="E6" s="156"/>
      <c r="F6" s="156"/>
      <c r="G6" s="156"/>
      <c r="H6" s="156"/>
      <c r="I6" s="156"/>
      <c r="J6" s="156"/>
      <c r="K6" s="156"/>
      <c r="L6" s="156"/>
      <c r="M6" s="156"/>
      <c r="N6" s="156"/>
      <c r="O6" s="156"/>
      <c r="P6" s="156"/>
      <c r="Q6" s="156"/>
      <c r="R6" s="156"/>
      <c r="S6" s="156"/>
      <c r="T6" s="156"/>
      <c r="U6" s="156"/>
    </row>
    <row r="7" spans="2:21">
      <c r="B7" s="156"/>
      <c r="C7" s="156"/>
      <c r="D7" s="156"/>
      <c r="E7" s="156"/>
      <c r="F7" s="156"/>
      <c r="G7" s="156"/>
      <c r="H7" s="156"/>
      <c r="I7" s="156"/>
      <c r="J7" s="156"/>
      <c r="K7" s="156"/>
      <c r="L7" s="156"/>
      <c r="M7" s="156"/>
      <c r="N7" s="156"/>
      <c r="O7" s="156"/>
      <c r="P7" s="156"/>
      <c r="Q7" s="156"/>
      <c r="R7" s="156"/>
      <c r="S7" s="156"/>
      <c r="T7" s="156"/>
      <c r="U7" s="156"/>
    </row>
    <row r="8" spans="2:21" ht="18.899999999999999" customHeight="1">
      <c r="B8" s="156"/>
      <c r="C8" s="156"/>
      <c r="D8" s="156"/>
      <c r="E8" s="156"/>
      <c r="F8" s="156"/>
      <c r="G8" s="156"/>
      <c r="H8" s="156"/>
      <c r="I8" s="156"/>
      <c r="J8" s="156"/>
      <c r="K8" s="156"/>
      <c r="L8" s="156"/>
      <c r="M8" s="156"/>
      <c r="N8" s="156"/>
      <c r="O8" s="156"/>
      <c r="P8" s="156"/>
      <c r="Q8" s="156"/>
      <c r="R8" s="156"/>
      <c r="S8" s="156"/>
      <c r="T8" s="156"/>
      <c r="U8" s="156"/>
    </row>
    <row r="28" spans="13:19" ht="18">
      <c r="M28" s="123" t="s">
        <v>359</v>
      </c>
      <c r="S28" s="124" t="s">
        <v>360</v>
      </c>
    </row>
  </sheetData>
  <mergeCells count="2">
    <mergeCell ref="B2:U3"/>
    <mergeCell ref="B6:U8"/>
  </mergeCells>
  <hyperlinks>
    <hyperlink ref="S28" r:id="rId1" xr:uid="{51887D28-D1FA-4E12-BEBC-763C65FAC1A0}"/>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CCA2-5B7B-4350-BE22-34019BA8ED20}">
  <sheetPr codeName="Sheet3"/>
  <dimension ref="B2:H17"/>
  <sheetViews>
    <sheetView showGridLines="0" zoomScale="70" zoomScaleNormal="70" workbookViewId="0"/>
  </sheetViews>
  <sheetFormatPr defaultColWidth="8.5546875" defaultRowHeight="13.8"/>
  <cols>
    <col min="1" max="1" width="8.5546875" style="10"/>
    <col min="2" max="2" width="33.44140625" style="10" customWidth="1"/>
    <col min="3" max="3" width="76" style="15" customWidth="1"/>
    <col min="4" max="4" width="3.5546875" style="126" customWidth="1"/>
    <col min="5" max="5" width="77.5546875" style="125" customWidth="1"/>
    <col min="6" max="8" width="14.88671875" style="125" customWidth="1"/>
    <col min="9" max="16384" width="8.5546875" style="10"/>
  </cols>
  <sheetData>
    <row r="2" spans="2:8" ht="14.4">
      <c r="B2"/>
    </row>
    <row r="11" spans="2:8" ht="14.4" thickBot="1"/>
    <row r="12" spans="2:8" ht="51.6" customHeight="1" thickTop="1" thickBot="1">
      <c r="B12" s="12" t="s">
        <v>96</v>
      </c>
      <c r="C12" s="16" t="s">
        <v>9</v>
      </c>
      <c r="E12" s="129" t="str">
        <f>VLOOKUP(C12,Table2[[Naziv ]:[Dodatne napomene]],2,0)</f>
        <v>Pravo na medicinsku rehabilitaciju u ugovornim banjama</v>
      </c>
      <c r="F12" s="127" t="str">
        <f>VLOOKUP(C12,Table2[[Naziv ]:[Dodatne napomene]],6,0)</f>
        <v>Zavod zdravstvenog osiguranja Kantona Sarajevo</v>
      </c>
      <c r="G12" s="127" t="str">
        <f>VLOOKUP(C12,Table2[[Naziv ]:[Dodatne napomene]],7,0)</f>
        <v>Ložionička 2, 71000 Sarajevo, Bosna i Hercegovina</v>
      </c>
      <c r="H12" s="128">
        <f>VLOOKUP(C12,Table2[[Naziv ]:[Dodatne napomene]],9,0)</f>
        <v>38733725207</v>
      </c>
    </row>
    <row r="13" spans="2:8" ht="15" thickTop="1" thickBot="1">
      <c r="B13" s="11"/>
      <c r="E13" s="130"/>
    </row>
    <row r="14" spans="2:8" ht="51.6" customHeight="1" thickTop="1" thickBot="1">
      <c r="B14" s="12" t="s">
        <v>98</v>
      </c>
      <c r="C14" s="138" t="s">
        <v>37</v>
      </c>
      <c r="E14" s="129" t="str">
        <f>VLOOKUP(C14,Table5[],2,0)</f>
        <v>Djeca koja su braća/sestre djeteta sa poteškoćama u razvoju imaju pravo na subvenciju troškova vrtića.</v>
      </c>
      <c r="F14" s="127" t="str">
        <f>VLOOKUP(C14,Table5[],6,0)</f>
        <v>Nadležna općina</v>
      </c>
      <c r="G14" s="127">
        <f>VLOOKUP(C14,Table5[],7,0)</f>
        <v>0</v>
      </c>
      <c r="H14" s="128">
        <f>VLOOKUP(C14,Table5[],9,0)</f>
        <v>0</v>
      </c>
    </row>
    <row r="15" spans="2:8" ht="15" thickTop="1" thickBot="1">
      <c r="B15" s="11"/>
      <c r="C15" s="139"/>
      <c r="E15" s="130"/>
    </row>
    <row r="16" spans="2:8" ht="51.6" customHeight="1" thickTop="1" thickBot="1">
      <c r="B16" s="12" t="s">
        <v>167</v>
      </c>
      <c r="C16" s="16" t="s">
        <v>539</v>
      </c>
      <c r="E16" s="129" t="str">
        <f>VLOOKUP(C16,'Neinstitucionalizirana prava'!$A$2:$F$10,2,0)</f>
        <v>Roditelj/staratelj osobe sa poteškoćama u razvoju (nesposobnost za samostalan život, nesposobnost za privređivanje) ima pravo na penziju.                                  Status roditelja njegovatelja priznaje se jednom od roditelja lica s invaliditetom sa 100% oštećenjem organizma i pravom na dodatak za njegu i pomoć od drugog lica.</v>
      </c>
      <c r="F16" s="157" t="str">
        <f>VLOOKUP(C16,'Neinstitucionalizirana prava'!$A$2:$F$10,4,0)</f>
        <v>Zakon o penzijskom i invalidskom osiguranju</v>
      </c>
      <c r="G16" s="157"/>
      <c r="H16" s="158"/>
    </row>
    <row r="17" ht="14.4"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4E2EEA1A-D1DD-47ED-82EC-3374A1AD76BD}">
          <x14:formula1>
            <xm:f>Filter!$D:$D</xm:f>
          </x14:formula1>
          <xm:sqref>C12</xm:sqref>
        </x14:dataValidation>
        <x14:dataValidation type="list" allowBlank="1" showInputMessage="1" showErrorMessage="1" xr:uid="{0CD45A3F-6D50-458C-A911-DAB7AC014DF5}">
          <x14:formula1>
            <xm:f>Filter!$B$4</xm:f>
          </x14:formula1>
          <xm:sqref>C15</xm:sqref>
        </x14:dataValidation>
        <x14:dataValidation type="list" allowBlank="1" showInputMessage="1" showErrorMessage="1" xr:uid="{78171D16-042A-4381-8426-9E3A567F4601}">
          <x14:formula1>
            <xm:f>Filter!$F:$F</xm:f>
          </x14:formula1>
          <xm:sqref>C16</xm:sqref>
        </x14:dataValidation>
        <x14:dataValidation type="list" allowBlank="1" showInputMessage="1" showErrorMessage="1" xr:uid="{6C51189B-2587-496B-A469-23AD9739E355}">
          <x14:formula1>
            <xm:f>Filter!$E:$E</xm:f>
          </x14:formula1>
          <xm:sqref>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3FD8-F479-4424-8A37-22417D59F505}">
  <sheetPr codeName="Sheet4"/>
  <dimension ref="B2:H17"/>
  <sheetViews>
    <sheetView showGridLines="0" topLeftCell="B1" zoomScale="70" zoomScaleNormal="70" workbookViewId="0">
      <selection activeCell="E16" sqref="E16"/>
    </sheetView>
  </sheetViews>
  <sheetFormatPr defaultColWidth="8.5546875" defaultRowHeight="13.8"/>
  <cols>
    <col min="1" max="1" width="8.5546875" style="10"/>
    <col min="2" max="2" width="33.44140625" style="10" customWidth="1"/>
    <col min="3" max="3" width="76" style="15" customWidth="1"/>
    <col min="4" max="4" width="3.5546875" style="126" customWidth="1"/>
    <col min="5" max="5" width="77.5546875" style="125" customWidth="1"/>
    <col min="6" max="8" width="14.88671875" style="125" customWidth="1"/>
    <col min="9" max="16384" width="8.5546875" style="10"/>
  </cols>
  <sheetData>
    <row r="2" spans="2:8" ht="14.4">
      <c r="B2"/>
    </row>
    <row r="3" spans="2:8" ht="14.4">
      <c r="B3"/>
    </row>
    <row r="11" spans="2:8" ht="14.4" thickBot="1"/>
    <row r="12" spans="2:8" ht="50.1" customHeight="1" thickTop="1" thickBot="1">
      <c r="B12" s="12" t="s">
        <v>96</v>
      </c>
      <c r="C12" s="16" t="s">
        <v>38</v>
      </c>
      <c r="E12" s="129" t="str">
        <f>VLOOKUP(C12,Table2[[Naziv ]:[Dodatne napomene]],2,0)</f>
        <v>Naknade troškova prijevoza učenika/ca s invaliditetom koji za potrebe odlaska i povratka na nastavni proces koriste javni linijski saobraćaj (mjesečni kupon za učenika/ca i pratioca).</v>
      </c>
      <c r="F12" s="127" t="str">
        <f>VLOOKUP(C12,Table2[[Naziv ]:[Dodatne napomene]],6,0)</f>
        <v>Prema općini prebivališta</v>
      </c>
      <c r="G12" s="127">
        <f>VLOOKUP(C12,Table2[[Naziv ]:[Dodatne napomene]],7,0)</f>
        <v>0</v>
      </c>
      <c r="H12" s="128" t="str">
        <f>VLOOKUP(C12,Table2[[Naziv ]:[Dodatne napomene]],9,0)</f>
        <v xml:space="preserve">OPĆINA CENTAR
Obrazovanje, društvene djelatnosti, kulturu i sport
omoćnica općinskog načelnika: Lejla DIZDAREVIĆ
T: + 387 33 56 24 72
E: lejla.dizdarevic@centar.ba 
OPĆINA STARI GRAD
Služba za obrazovanje, kulturu i sport
Enida Osmanagić
po ovlaštenju Pomoćnik Općinskog načelnika za obrazovanje, kulturu i sport
e-mail: enida.osmanagic@starigrad.ba  
OPĆINA NOVO SARAJEVO
Služba za obrazovanje, kulturu i sport
Emina Rovčanin
diplomirani pravnik
Pomoćnik Općinskog načelnika
tel: +387 33 492-188, +387 33 492-189
obrazovanje@novosarajevo.ba 
emina.rovcanin@novosarajevo.ba 
OPĆINA NOVI GRAD
Služba za obrazovanje, kulturu i sport
Adisa Šuman, Rukovodioc
E-mail: adisasuman@novigradsarajevo.ba 
Telefon: 033/291–190 / Lokal 190
Soba: 510
OPĆINA ILIDŽA
Služba za obrazovanje, kulturu, sport i mlade
Adel Prašović
Pomoćnik Općinskog načelnika
E-mail: adel.prasovic@opcinailidza.ba
Telefon 033/637-218
Lokal716
OPĆINA HADŽIĆI
Služba za boračko-invalidsku, socijalnu i zdravstvenu zaštitu, izbjegla i raseljena lica
Pomoćnik načelnika: v.d. Almin Tufo
Telefon: 033/475-908
E-mail: biz@hadzici.ba
OPĆINA ILIJAŠ
Služba za opću upravu, boračko-inavlidsku zaštitu i socijalnu zaštitu
Pomoćnik načelnika
Nijaz SPAHIĆ
 + 387 33 580 640
 nijaz.spahic@ilijas.ba 
 biz@ilijas.ba 
OPĆINA VOGOŠĆA
Služba za boračko-invalidsku i socijalnu zaštitu
Zijad Kadrić
033/586-470
zijad.kadric@vogosca.ba
OPĆINA TRNOVO
Služba za opću upravu, društvene djelatnosti, boračko-invalidsku, dječiju i socijalnu zaštitu
Pomoćnik rukovodioca službe za opću upravu, društvene djelatnosti, boračko-invalidsku, dječiju i socijalnu zaštitu
Mirsad Mešić
Tel: +387(0)33 586-301
biz@trnovo.ba 
</v>
      </c>
    </row>
    <row r="13" spans="2:8" ht="15" thickTop="1" thickBot="1">
      <c r="B13" s="11"/>
      <c r="E13" s="130"/>
    </row>
    <row r="14" spans="2:8" ht="50.1" customHeight="1" thickTop="1" thickBot="1">
      <c r="B14" s="12" t="s">
        <v>98</v>
      </c>
      <c r="C14" s="16" t="s">
        <v>36</v>
      </c>
      <c r="E14" s="129" t="str">
        <f>VLOOKUP(C14,Table5[],2,0)</f>
        <v>Na Stomatološkom fakultetu u Sarajevu djeci s poteškoćama u razvoju pružaju se besplatne oralnohirurške i stomatološke usluge, ako je potrebno i pod općom anestezijom. .</v>
      </c>
      <c r="F14" s="127" t="str">
        <f>VLOOKUP(C14,Table5[],6,0)</f>
        <v>Stomatološki fakultet u Sarajevu</v>
      </c>
      <c r="G14" s="127" t="str">
        <f>VLOOKUP(C14,Table5[],7,0)</f>
        <v>Bolnička 4, Sarajevo</v>
      </c>
      <c r="H14" s="128">
        <f>VLOOKUP(C14,Table5[],9,0)</f>
        <v>38733214249</v>
      </c>
    </row>
    <row r="15" spans="2:8" ht="15" thickTop="1" thickBot="1">
      <c r="B15" s="11"/>
      <c r="E15" s="130"/>
    </row>
    <row r="16" spans="2:8" ht="50.1" customHeight="1" thickTop="1" thickBot="1">
      <c r="B16" s="12" t="s">
        <v>167</v>
      </c>
      <c r="C16" s="16" t="s">
        <v>471</v>
      </c>
      <c r="E16" s="129" t="str">
        <f>VLOOKUP(C16,'Neinstitucionalizirana prava'!$A$2:$F$10,2,0)</f>
        <v>Djeca i odrasle osobe koji su uključeni u specijalno školovanje imaju pravo na dnevni boravak u posebnim ustanovama ili smještaj u internatskim ustanovama ako to preporuči Stručna komisija ili Stručna institucija.</v>
      </c>
      <c r="F16" s="157" t="str">
        <f>VLOOKUP(C16,'Neinstitucionalizirana prava'!$A$2:$F$10,4,0)</f>
        <v>Zakon o socijalnoj zaštiti, zaštiti civilnih žrtava rata i zaštiti porodice sa djecom</v>
      </c>
      <c r="G16" s="157"/>
      <c r="H16" s="158"/>
    </row>
    <row r="17" ht="14.4"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18F74FB-D49C-4506-9001-B76B2C6D04FD}">
          <x14:formula1>
            <xm:f>Filter!$G$1:$G$50</xm:f>
          </x14:formula1>
          <xm:sqref>C12</xm:sqref>
        </x14:dataValidation>
        <x14:dataValidation type="list" allowBlank="1" showInputMessage="1" showErrorMessage="1" xr:uid="{55364B17-842F-44FD-958A-573F66C658C2}">
          <x14:formula1>
            <xm:f>Filter!$H$1:$H$50</xm:f>
          </x14:formula1>
          <xm:sqref>C14</xm:sqref>
        </x14:dataValidation>
        <x14:dataValidation type="list" allowBlank="1" showInputMessage="1" showErrorMessage="1" xr:uid="{4074C8DB-3BD5-453F-8E86-02598B53FA3C}">
          <x14:formula1>
            <xm:f>Filter!$I$1:$I$50</xm:f>
          </x14:formula1>
          <xm:sqref>C16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C7FC-29AF-4F20-9BCD-2B72AB52BFA5}">
  <sheetPr codeName="Sheet6"/>
  <dimension ref="B2:H17"/>
  <sheetViews>
    <sheetView showGridLines="0" zoomScale="68" zoomScaleNormal="130" workbookViewId="0">
      <selection activeCell="C17" sqref="C17"/>
    </sheetView>
  </sheetViews>
  <sheetFormatPr defaultColWidth="8.5546875" defaultRowHeight="13.8"/>
  <cols>
    <col min="1" max="1" width="8.5546875" style="10"/>
    <col min="2" max="2" width="33.44140625" style="10" customWidth="1"/>
    <col min="3" max="3" width="76" style="15" customWidth="1"/>
    <col min="4" max="4" width="3.5546875" style="126" customWidth="1"/>
    <col min="5" max="5" width="77.5546875" style="125" customWidth="1"/>
    <col min="6" max="8" width="14.88671875" style="125" customWidth="1"/>
    <col min="9" max="16384" width="8.5546875" style="10"/>
  </cols>
  <sheetData>
    <row r="2" spans="2:8" ht="14.4">
      <c r="B2"/>
    </row>
    <row r="3" spans="2:8" ht="14.4">
      <c r="B3"/>
    </row>
    <row r="4" spans="2:8" ht="14.4">
      <c r="B4"/>
    </row>
    <row r="11" spans="2:8" ht="14.4" thickBot="1"/>
    <row r="12" spans="2:8" ht="51.6" customHeight="1" thickTop="1" thickBot="1">
      <c r="B12" s="12" t="s">
        <v>96</v>
      </c>
      <c r="C12" s="16" t="s">
        <v>17</v>
      </c>
      <c r="E12" s="129" t="str">
        <f>VLOOKUP(C12,Table2[[Naziv ]:[Dodatne napomene]],2,0)</f>
        <v>Licima sa invaliditetom i grupe sa 100% tjelesnog oštećenja i licima sa invaliditetom II grupe sa 90% tjelesnog oštećenja i civilne žrtve rata omogućiti ostvarivanje prava na ličnu invalidninu, dodatak za njegu i pomoć od strane drugog lica i ortopedski dodatak.                                                                      Zakon definira civilne žrtve rata:
-	Osobe sa najmanje 20% tjelesnih oštećenja uslijed ratnih događaja, pod uslovom da su u vrijeme incidenta bili civili.
	Osobe koje su pretrpjele seksualno zlostavljanje ili silovanje tokom rata, uključujući djecu rođenu od ratnog silovanja, bez obzira na status majke.
	Članovi porodica civila poginulih ili nestalih usljed ratnih dešavanja.
	Dodatno, bosanskim državljanima koji borave u Federaciji i koji su pogođeni ratnim događajima priznaje se ako nemaju koristi od drugih propisa.</v>
      </c>
      <c r="F12" s="127" t="str">
        <f>VLOOKUP(C12,Table2[[Naziv ]:[Dodatne napomene]],6,0)</f>
        <v>Kantonalni centar za socijalni rad</v>
      </c>
      <c r="G12" s="127" t="str">
        <f>VLOOKUP(C12,Table2[[Naziv ]:[Dodatne napomene]],7,0)</f>
        <v>Gatačka 80, Sarajevo</v>
      </c>
      <c r="H12" s="128">
        <f>VLOOKUP(C12,Table2[[Naziv ]:[Dodatne napomene]],9,0)</f>
        <v>38733723635</v>
      </c>
    </row>
    <row r="13" spans="2:8" ht="15" thickTop="1" thickBot="1">
      <c r="B13" s="11"/>
      <c r="E13" s="130"/>
    </row>
    <row r="14" spans="2:8" ht="51.6" customHeight="1" thickTop="1" thickBot="1">
      <c r="B14" s="12" t="s">
        <v>98</v>
      </c>
      <c r="C14" s="16" t="s">
        <v>6</v>
      </c>
      <c r="E14" s="129" t="str">
        <f>VLOOKUP(C14,Table5[],2,0)</f>
        <v>Općina Ilidža: Općinski načelnik dodjeljuje jednokratnu novčanu pomoć osobama sa invaliditetom sa posebnim potrebama koje su u socijalnoj potrebi.</v>
      </c>
      <c r="F14" s="127" t="str">
        <f>VLOOKUP(C14,Table5[],6,0)</f>
        <v>Općina Ilidža</v>
      </c>
      <c r="G14" s="127" t="str">
        <f>VLOOKUP(C14,Table5[],7,0)</f>
        <v>Butmirska cesta 12, prvi sprat</v>
      </c>
      <c r="H14" s="128">
        <f>VLOOKUP(C14,Table5[],9,0)</f>
        <v>387733637384</v>
      </c>
    </row>
    <row r="15" spans="2:8" ht="15" thickTop="1" thickBot="1">
      <c r="B15" s="11"/>
      <c r="E15" s="130"/>
    </row>
    <row r="16" spans="2:8" ht="51.6" customHeight="1" thickTop="1" thickBot="1">
      <c r="B16" s="12" t="s">
        <v>167</v>
      </c>
      <c r="C16" s="16" t="s">
        <v>49</v>
      </c>
      <c r="E16" s="129" t="str">
        <f>VLOOKUP(C16,'Neinstitucionalizirana prava'!$A$2:$F$10,2,0)</f>
        <v>Osobe sa invaliditetom imaju pravo na zapošljavanje i rad na tržištu rada pod opštim i posebnim uslovima. Pod opštim uslovima, OSI se mogu zaposliti u različitim subjektima javnog i privatnog sektora. U javnom sektoru osobe sa invaliditetom imaju povlaštena prava pri zapošljavanju ako ispunjavaju i opšte i posebne uslove za posao</v>
      </c>
      <c r="F16" s="157" t="str">
        <f>VLOOKUP(C16,'Neinstitucionalizirana prava'!$A$2:$F$10,4,0)</f>
        <v>Zakon o profesionalnoj rehabilitaciji, osposobljavanju i zapošljavanju osoba s invaliditetom Federacije BiH</v>
      </c>
      <c r="G16" s="157"/>
      <c r="H16" s="158"/>
    </row>
    <row r="17" ht="14.4"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148F6DD1-7A08-428C-9901-BA2B4D19F0EA}">
          <x14:formula1>
            <xm:f>Filter!$J$1:$J$50</xm:f>
          </x14:formula1>
          <xm:sqref>C12</xm:sqref>
        </x14:dataValidation>
        <x14:dataValidation type="list" allowBlank="1" showInputMessage="1" showErrorMessage="1" xr:uid="{D15E9779-F30C-4556-9A9F-480662CA0FF9}">
          <x14:formula1>
            <xm:f>Filter!$K$1:$K$50</xm:f>
          </x14:formula1>
          <xm:sqref>C14</xm:sqref>
        </x14:dataValidation>
        <x14:dataValidation type="list" allowBlank="1" showInputMessage="1" showErrorMessage="1" xr:uid="{BF7484F5-4817-45A3-BDFB-4DCE6FD4A3A5}">
          <x14:formula1>
            <xm:f>Filter!$L$1:$L$50</xm:f>
          </x14:formula1>
          <xm:sqref>C16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17636-9D63-4CEF-B4BB-541077ED8170}">
  <sheetPr codeName="Sheet7"/>
  <dimension ref="B2:H17"/>
  <sheetViews>
    <sheetView showGridLines="0" topLeftCell="A12" zoomScale="70" zoomScaleNormal="70" workbookViewId="0">
      <selection activeCell="C6" sqref="C6"/>
    </sheetView>
  </sheetViews>
  <sheetFormatPr defaultColWidth="8.5546875" defaultRowHeight="13.8"/>
  <cols>
    <col min="1" max="1" width="8.5546875" style="10"/>
    <col min="2" max="2" width="33.44140625" style="10" customWidth="1"/>
    <col min="3" max="3" width="76" style="15" customWidth="1"/>
    <col min="4" max="4" width="3.5546875" style="10" customWidth="1"/>
    <col min="5" max="5" width="77.5546875" style="125" customWidth="1"/>
    <col min="6" max="8" width="14.88671875" style="125" customWidth="1"/>
    <col min="9" max="16384" width="8.5546875" style="10"/>
  </cols>
  <sheetData>
    <row r="2" spans="2:8" ht="14.4">
      <c r="B2"/>
    </row>
    <row r="3" spans="2:8" ht="14.4">
      <c r="B3"/>
    </row>
    <row r="4" spans="2:8" ht="14.4">
      <c r="B4"/>
    </row>
    <row r="11" spans="2:8" ht="14.4" thickBot="1"/>
    <row r="12" spans="2:8" ht="51" customHeight="1" thickTop="1" thickBot="1">
      <c r="B12" s="12" t="s">
        <v>96</v>
      </c>
      <c r="C12" s="16" t="s">
        <v>70</v>
      </c>
      <c r="E12" s="129" t="str">
        <f>VLOOKUP(C12,Table2[[Naziv ]:[Dodatne napomene]],2,0)</f>
        <v>Zdravstvena zaštita osoba starijih od 65 godina života, pod uslovom da nemaju zdravstveno osiguranje po drugom osnovu. Plaćanje neposrednog učešća u troškovima zdravstvene zaštite starijih od 65 godina života vršit će MRSRI KS, pod uslovom da nisu zdravstveno osigurani po drugom osnovu.</v>
      </c>
      <c r="F12" s="127" t="str">
        <f>VLOOKUP(C12,Table2[[Naziv ]:[Dodatne napomene]],6,0)</f>
        <v xml:space="preserve">Općina, nadležna općinska služba
Ministarstvo za rad, socijalnu politiku, raseljena lica i izbjeglice Kantona Sarajevo
</v>
      </c>
      <c r="G12" s="127">
        <f>VLOOKUP(C12,Table2[[Naziv ]:[Dodatne napomene]],7,0)</f>
        <v>0</v>
      </c>
      <c r="H12" s="128">
        <f>VLOOKUP(C12,Table2[[Naziv ]:[Dodatne napomene]],9,0)</f>
        <v>0</v>
      </c>
    </row>
    <row r="13" spans="2:8" ht="15" thickTop="1" thickBot="1">
      <c r="B13" s="11"/>
      <c r="E13" s="130"/>
    </row>
    <row r="14" spans="2:8" ht="51" customHeight="1" thickTop="1" thickBot="1">
      <c r="B14" s="12" t="s">
        <v>98</v>
      </c>
      <c r="C14" s="16" t="s">
        <v>361</v>
      </c>
      <c r="E14" s="129" t="str">
        <f>VLOOKUP(C14,Table5[],2,0)</f>
        <v xml:space="preserve">Zaposlene osobe s invaliditetom imaju pravo na osnovni lični odbitak i umanjenje porezne osnovice po osnovu izdražavanja članova uže porodice i /ili po osnovu eventualne invalidnosti tih članova ili samog poreznog obveznika.
Rezidentni porezni obveznici mogu odbiti i lični odbitak: 0,3 osnovnog ličnog odbitka iz stava (1) člana 24 za utvrđenu vlastitu invalidnost, kao i za utvrđenu invalidnost svakog člana uže porodice koje porezni obveznik izdržava. </v>
      </c>
      <c r="F14" s="127" t="str">
        <f>VLOOKUP(C14,Table5[],6,0)</f>
        <v>Poreska uprava nadležne općine</v>
      </c>
      <c r="G14" s="127">
        <f>VLOOKUP(C14,Table5[],7,0)</f>
        <v>0</v>
      </c>
      <c r="H14" s="128">
        <f>VLOOKUP(C14,Table5[],9,0)</f>
        <v>0</v>
      </c>
    </row>
    <row r="15" spans="2:8" ht="15" thickTop="1" thickBot="1">
      <c r="B15" s="11"/>
      <c r="E15" s="130"/>
    </row>
    <row r="16" spans="2:8" ht="51" customHeight="1" thickTop="1" thickBot="1">
      <c r="B16" s="12" t="s">
        <v>167</v>
      </c>
      <c r="C16" s="16" t="s">
        <v>16</v>
      </c>
      <c r="E16" s="129" t="str">
        <f>VLOOKUP(C16,'Neinstitucionalizirana prava'!$A$2:$F$10,2,0)</f>
        <v>Osoba može dobiti pomoć i njegu u kući ako ispunjava sljedeće uvjete:
- Nije već dobila novčanu naknadu za pomoć i njegu od drugog.
- Nema mogućnost da pomoć i njegu osiguraju roditelji, bračni partner ili djeca.
- Nema mogućnost osiguranja pomoći i njege putem ugovora o doživotnom izdržavanju.
- Prihod njezina kućanstva ne prelazi 30% prosječne plaće.</v>
      </c>
      <c r="F16" s="157" t="str">
        <f>VLOOKUP(C16,'Neinstitucionalizirana prava'!$A$2:$F$10,4,0)</f>
        <v>Zakon o socijalnoj zaštiti, zaštiti civilnih žrtava rata i zaštiti porodice sa djecom</v>
      </c>
      <c r="G16" s="157"/>
      <c r="H16" s="158"/>
    </row>
    <row r="17" ht="14.4" thickTop="1"/>
  </sheetData>
  <mergeCells count="1">
    <mergeCell ref="F16:H16"/>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36E09D36-0650-4C98-A3B4-174899F8F610}">
          <x14:formula1>
            <xm:f>Filter!$M$1:$M$50</xm:f>
          </x14:formula1>
          <xm:sqref>C12</xm:sqref>
        </x14:dataValidation>
        <x14:dataValidation type="list" allowBlank="1" showInputMessage="1" showErrorMessage="1" xr:uid="{75DE1291-819C-4172-8F27-9C9DFC2BE22F}">
          <x14:formula1>
            <xm:f>Filter!$N$1:$N$50</xm:f>
          </x14:formula1>
          <xm:sqref>C14</xm:sqref>
        </x14:dataValidation>
        <x14:dataValidation type="list" allowBlank="1" showInputMessage="1" showErrorMessage="1" xr:uid="{C16D060D-CB17-4A32-A1F1-CB0EAC63FF9A}">
          <x14:formula1>
            <xm:f>Filter!$O$1:$O$50</xm:f>
          </x14:formula1>
          <xm:sqref>C16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708E5-CA35-4FCC-AEE5-07D111DD3736}">
  <sheetPr codeName="Sheet8"/>
  <dimension ref="A1:U18"/>
  <sheetViews>
    <sheetView showGridLines="0" topLeftCell="A2" workbookViewId="0">
      <selection activeCell="C7" sqref="C7:D7"/>
    </sheetView>
  </sheetViews>
  <sheetFormatPr defaultColWidth="8.88671875" defaultRowHeight="14.4"/>
  <cols>
    <col min="2" max="2" width="27.5546875" bestFit="1" customWidth="1"/>
    <col min="4" max="4" width="46.88671875" customWidth="1"/>
  </cols>
  <sheetData>
    <row r="1" spans="1:21" s="2" customFormat="1" ht="16.8">
      <c r="B1" s="3"/>
      <c r="C1" s="3"/>
      <c r="D1" s="3"/>
      <c r="F1" s="4"/>
      <c r="G1" s="4"/>
      <c r="H1" s="4"/>
      <c r="I1" s="4"/>
      <c r="J1" s="4"/>
      <c r="K1" s="4"/>
      <c r="L1" s="4"/>
      <c r="M1" s="4"/>
      <c r="N1" s="4"/>
      <c r="O1" s="4"/>
      <c r="P1" s="4"/>
      <c r="Q1" s="4"/>
      <c r="R1" s="4"/>
      <c r="S1" s="4"/>
    </row>
    <row r="2" spans="1:21" s="2" customFormat="1" ht="50.4" customHeight="1">
      <c r="B2" s="3"/>
      <c r="C2" s="3"/>
      <c r="D2" s="3"/>
      <c r="E2" s="5"/>
      <c r="F2" s="5"/>
      <c r="G2" s="5"/>
      <c r="H2" s="5"/>
      <c r="I2" s="5"/>
      <c r="J2" s="5"/>
      <c r="K2" s="5"/>
      <c r="L2" s="5"/>
      <c r="M2" s="5"/>
      <c r="N2" s="5"/>
      <c r="O2" s="5"/>
      <c r="P2" s="5"/>
      <c r="Q2" s="5"/>
      <c r="R2" s="5"/>
      <c r="S2" s="5"/>
      <c r="T2" s="5"/>
      <c r="U2" s="5"/>
    </row>
    <row r="3" spans="1:21" s="2" customFormat="1" ht="50.4" customHeight="1">
      <c r="A3" s="160" t="s">
        <v>362</v>
      </c>
      <c r="B3" s="160"/>
      <c r="C3" s="160"/>
      <c r="D3" s="160"/>
      <c r="E3" s="160"/>
      <c r="F3" s="160"/>
      <c r="G3" s="160"/>
      <c r="H3" s="160"/>
      <c r="I3" s="6"/>
      <c r="J3" s="6"/>
      <c r="K3" s="6"/>
      <c r="L3" s="6"/>
      <c r="M3" s="6"/>
      <c r="N3" s="6"/>
      <c r="O3" s="6"/>
      <c r="P3" s="6"/>
      <c r="Q3" s="6"/>
      <c r="R3" s="6"/>
      <c r="S3" s="6"/>
      <c r="T3" s="6"/>
      <c r="U3" s="6"/>
    </row>
    <row r="4" spans="1:21" ht="14.25" customHeight="1"/>
    <row r="6" spans="1:21" ht="33.75" customHeight="1">
      <c r="B6" s="8" t="s">
        <v>0</v>
      </c>
      <c r="C6" s="167" t="s">
        <v>2</v>
      </c>
      <c r="D6" s="168"/>
    </row>
    <row r="7" spans="1:21" ht="31.5" customHeight="1">
      <c r="B7" s="8" t="s">
        <v>1</v>
      </c>
      <c r="C7" s="169" t="s">
        <v>4</v>
      </c>
      <c r="D7" s="169"/>
    </row>
    <row r="8" spans="1:21">
      <c r="B8" s="159" t="s">
        <v>74</v>
      </c>
      <c r="C8" s="161" t="e">
        <f>VLOOKUP(C7,All,3,0)</f>
        <v>#N/A</v>
      </c>
      <c r="D8" s="162"/>
    </row>
    <row r="9" spans="1:21" ht="78" customHeight="1">
      <c r="B9" s="159"/>
      <c r="C9" s="163"/>
      <c r="D9" s="164"/>
    </row>
    <row r="10" spans="1:21" ht="28.5" customHeight="1">
      <c r="B10" s="7" t="s">
        <v>363</v>
      </c>
      <c r="C10" s="165" t="e">
        <f>VLOOKUP($C$7,Usluge,6,0)</f>
        <v>#NAME?</v>
      </c>
      <c r="D10" s="166"/>
    </row>
    <row r="11" spans="1:21" ht="15">
      <c r="B11" s="7" t="s">
        <v>77</v>
      </c>
      <c r="C11" s="165" t="e">
        <f>VLOOKUP($C$7,Usluge,7,0)</f>
        <v>#NAME?</v>
      </c>
      <c r="D11" s="166"/>
    </row>
    <row r="12" spans="1:21" ht="15">
      <c r="B12" s="7" t="s">
        <v>78</v>
      </c>
      <c r="C12" s="165" t="e">
        <f>VLOOKUP($C$7,Usluge,8,0)</f>
        <v>#NAME?</v>
      </c>
      <c r="D12" s="166"/>
    </row>
    <row r="13" spans="1:21" ht="15">
      <c r="B13" s="7" t="s">
        <v>79</v>
      </c>
      <c r="C13" s="165" t="e">
        <f>VLOOKUP($C$7,Usluge,9,0)</f>
        <v>#NAME?</v>
      </c>
      <c r="D13" s="166"/>
    </row>
    <row r="14" spans="1:21" ht="15">
      <c r="B14" s="7" t="s">
        <v>80</v>
      </c>
      <c r="C14" s="165" t="e">
        <f>VLOOKUP($C$7,Usluge,10,0)</f>
        <v>#NAME?</v>
      </c>
      <c r="D14" s="166"/>
    </row>
    <row r="15" spans="1:21" ht="62.25" customHeight="1">
      <c r="B15" s="7" t="s">
        <v>82</v>
      </c>
      <c r="C15" s="161" t="e">
        <f>VLOOKUP($C$7,Usluge,11,0)</f>
        <v>#NAME?</v>
      </c>
      <c r="D15" s="162"/>
    </row>
    <row r="16" spans="1:21" ht="126" customHeight="1">
      <c r="B16" s="7" t="s">
        <v>83</v>
      </c>
      <c r="C16" s="161" t="e">
        <f>VLOOKUP($C$7,Usluge,12,0)</f>
        <v>#NAME?</v>
      </c>
      <c r="D16" s="162"/>
    </row>
    <row r="17" spans="2:4" ht="15">
      <c r="B17" s="7" t="s">
        <v>84</v>
      </c>
      <c r="C17" s="165" t="e">
        <f>VLOOKUP($C$7,Usluge,13,0)</f>
        <v>#NAME?</v>
      </c>
      <c r="D17" s="166"/>
    </row>
    <row r="18" spans="2:4" ht="15">
      <c r="B18" s="7" t="s">
        <v>85</v>
      </c>
      <c r="C18" s="170" t="e">
        <f>VLOOKUP($C$7,Usluge,15,0)</f>
        <v>#NAME?</v>
      </c>
      <c r="D18" s="170"/>
    </row>
  </sheetData>
  <mergeCells count="14">
    <mergeCell ref="C17:D17"/>
    <mergeCell ref="C18:D18"/>
    <mergeCell ref="C12:D12"/>
    <mergeCell ref="C13:D13"/>
    <mergeCell ref="C14:D14"/>
    <mergeCell ref="C15:D15"/>
    <mergeCell ref="C16:D16"/>
    <mergeCell ref="B8:B9"/>
    <mergeCell ref="A3:H3"/>
    <mergeCell ref="C8:D9"/>
    <mergeCell ref="C10:D10"/>
    <mergeCell ref="C11:D11"/>
    <mergeCell ref="C6:D6"/>
    <mergeCell ref="C7:D7"/>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756EF22-8631-499D-B8C1-363F359DC939}">
          <x14:formula1>
            <xm:f>Sheet2!$D$2:$D$5</xm:f>
          </x14:formula1>
          <xm:sqref>C6:D6</xm:sqref>
        </x14:dataValidation>
        <x14:dataValidation type="list" allowBlank="1" showInputMessage="1" showErrorMessage="1" xr:uid="{030BBE82-DF6E-4109-992B-4F4D3DD79B97}">
          <x14:formula1>
            <xm:f>Filter!$A$1:$A$50</xm:f>
          </x14:formula1>
          <xm:sqref>C7:D7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745D0-3A85-4CE4-80E0-563AD56B3BAC}">
  <sheetPr codeName="Sheet11"/>
  <dimension ref="A1:F10"/>
  <sheetViews>
    <sheetView showGridLines="0" zoomScale="70" zoomScaleNormal="70" workbookViewId="0">
      <pane ySplit="1" topLeftCell="A2" activePane="bottomLeft" state="frozen"/>
      <selection activeCell="B4" sqref="B4"/>
      <selection pane="bottomLeft" activeCell="F4" sqref="F4"/>
    </sheetView>
  </sheetViews>
  <sheetFormatPr defaultColWidth="8.88671875" defaultRowHeight="14.4"/>
  <cols>
    <col min="1" max="1" width="30.88671875" customWidth="1"/>
    <col min="2" max="2" width="40.44140625" customWidth="1"/>
    <col min="3" max="3" width="13.109375" customWidth="1"/>
    <col min="4" max="4" width="14" customWidth="1"/>
    <col min="5" max="5" width="37.44140625" customWidth="1"/>
    <col min="6" max="6" width="49" customWidth="1"/>
  </cols>
  <sheetData>
    <row r="1" spans="1:6" ht="24.9" customHeight="1">
      <c r="A1" s="108" t="s">
        <v>1</v>
      </c>
      <c r="B1" s="108" t="s">
        <v>74</v>
      </c>
      <c r="C1" s="109" t="s">
        <v>0</v>
      </c>
      <c r="D1" s="108" t="s">
        <v>81</v>
      </c>
      <c r="E1" s="108" t="s">
        <v>425</v>
      </c>
      <c r="F1" s="108" t="s">
        <v>78</v>
      </c>
    </row>
    <row r="2" spans="1:6" ht="79.8">
      <c r="A2" s="110" t="s">
        <v>471</v>
      </c>
      <c r="B2" s="110" t="s">
        <v>305</v>
      </c>
      <c r="C2" s="110" t="s">
        <v>51</v>
      </c>
      <c r="D2" s="110" t="s">
        <v>426</v>
      </c>
      <c r="E2" s="110" t="s">
        <v>306</v>
      </c>
      <c r="F2" s="84"/>
    </row>
    <row r="3" spans="1:6" ht="182.4">
      <c r="A3" s="110" t="s">
        <v>16</v>
      </c>
      <c r="B3" s="110" t="s">
        <v>195</v>
      </c>
      <c r="C3" s="111" t="s">
        <v>432</v>
      </c>
      <c r="D3" s="110" t="s">
        <v>426</v>
      </c>
      <c r="E3" s="110" t="s">
        <v>197</v>
      </c>
      <c r="F3" s="91" t="s">
        <v>314</v>
      </c>
    </row>
    <row r="4" spans="1:6" ht="296.39999999999998">
      <c r="A4" s="110" t="s">
        <v>539</v>
      </c>
      <c r="B4" s="110" t="s">
        <v>540</v>
      </c>
      <c r="C4" s="110" t="s">
        <v>534</v>
      </c>
      <c r="D4" s="110" t="s">
        <v>428</v>
      </c>
      <c r="E4" s="110" t="s">
        <v>166</v>
      </c>
    </row>
    <row r="5" spans="1:6" ht="171">
      <c r="A5" s="110" t="s">
        <v>57</v>
      </c>
      <c r="B5" s="110" t="s">
        <v>307</v>
      </c>
      <c r="C5" s="110" t="s">
        <v>51</v>
      </c>
      <c r="D5" s="110" t="s">
        <v>426</v>
      </c>
      <c r="E5" s="110" t="s">
        <v>308</v>
      </c>
      <c r="F5" s="110"/>
    </row>
    <row r="6" spans="1:6" ht="285">
      <c r="A6" s="110" t="s">
        <v>48</v>
      </c>
      <c r="B6" s="110" t="s">
        <v>478</v>
      </c>
      <c r="C6" s="110" t="s">
        <v>40</v>
      </c>
      <c r="D6" s="110" t="s">
        <v>429</v>
      </c>
      <c r="E6" s="110" t="s">
        <v>252</v>
      </c>
      <c r="F6" s="84"/>
    </row>
    <row r="7" spans="1:6" ht="273.60000000000002">
      <c r="A7" s="110" t="s">
        <v>58</v>
      </c>
      <c r="B7" s="110" t="s">
        <v>309</v>
      </c>
      <c r="C7" s="110" t="s">
        <v>51</v>
      </c>
      <c r="D7" s="110" t="s">
        <v>426</v>
      </c>
      <c r="E7" s="110" t="s">
        <v>310</v>
      </c>
      <c r="F7" s="84"/>
    </row>
    <row r="8" spans="1:6" ht="205.2">
      <c r="A8" s="110" t="s">
        <v>49</v>
      </c>
      <c r="B8" s="110" t="s">
        <v>253</v>
      </c>
      <c r="C8" s="110" t="s">
        <v>40</v>
      </c>
      <c r="D8" s="110" t="s">
        <v>430</v>
      </c>
      <c r="E8" s="110" t="s">
        <v>470</v>
      </c>
      <c r="F8" s="110"/>
    </row>
    <row r="9" spans="1:6" ht="102.6">
      <c r="A9" s="110" t="s">
        <v>482</v>
      </c>
      <c r="B9" s="110" t="s">
        <v>489</v>
      </c>
      <c r="C9" s="111" t="s">
        <v>535</v>
      </c>
      <c r="D9" s="110" t="s">
        <v>431</v>
      </c>
      <c r="E9" s="110" t="s">
        <v>200</v>
      </c>
      <c r="F9" s="110"/>
    </row>
    <row r="10" spans="1:6" ht="102.6">
      <c r="A10" s="111" t="s">
        <v>483</v>
      </c>
      <c r="B10" s="111" t="s">
        <v>491</v>
      </c>
      <c r="C10" s="111" t="s">
        <v>535</v>
      </c>
      <c r="D10" s="110" t="s">
        <v>431</v>
      </c>
      <c r="E10" s="110" t="s">
        <v>202</v>
      </c>
      <c r="F10" s="110"/>
    </row>
  </sheetData>
  <sortState xmlns:xlrd2="http://schemas.microsoft.com/office/spreadsheetml/2017/richdata2" ref="A2:F10">
    <sortCondition ref="A6:A10"/>
  </sortState>
  <conditionalFormatting sqref="A2:A10">
    <cfRule type="duplicateValues" dxfId="4" priority="1"/>
  </conditionalFormatting>
  <hyperlinks>
    <hyperlink ref="F3" r:id="rId1" xr:uid="{F41ABE82-6260-4AB9-9FC0-3D6CD3B57FED}"/>
  </hyperlinks>
  <pageMargins left="0.7" right="0.7" top="0.75" bottom="0.75" header="0.3" footer="0.3"/>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FECD-C102-4B70-A315-649D04135A21}">
  <sheetPr codeName="Sheet9"/>
  <dimension ref="A1:S33"/>
  <sheetViews>
    <sheetView showGridLines="0" topLeftCell="J1" zoomScale="55" zoomScaleNormal="55" workbookViewId="0">
      <pane ySplit="1" topLeftCell="A2" activePane="bottomLeft" state="frozen"/>
      <selection activeCell="B4" sqref="B4"/>
      <selection pane="bottomLeft" activeCell="R2" sqref="R2:S2"/>
    </sheetView>
  </sheetViews>
  <sheetFormatPr defaultColWidth="9.109375" defaultRowHeight="13.8"/>
  <cols>
    <col min="1" max="1" width="3.88671875" style="105" customWidth="1"/>
    <col min="2" max="2" width="21.44140625" style="106" bestFit="1" customWidth="1"/>
    <col min="3" max="3" width="45.5546875" style="105" customWidth="1"/>
    <col min="4" max="4" width="20.44140625" style="105" customWidth="1"/>
    <col min="5" max="5" width="11.44140625" style="105" hidden="1" customWidth="1"/>
    <col min="6" max="7" width="23" style="105" customWidth="1"/>
    <col min="8" max="8" width="15.44140625" style="105" customWidth="1"/>
    <col min="9" max="9" width="21.5546875" style="105" customWidth="1"/>
    <col min="10" max="10" width="21.109375" style="105" customWidth="1"/>
    <col min="11" max="11" width="16.5546875" style="105" customWidth="1"/>
    <col min="12" max="12" width="62.5546875" style="105" customWidth="1"/>
    <col min="13" max="13" width="48" style="105" customWidth="1"/>
    <col min="14" max="14" width="64.109375" style="105" customWidth="1"/>
    <col min="15" max="15" width="25.5546875" style="105" customWidth="1"/>
    <col min="16" max="16" width="16" style="107" hidden="1" customWidth="1"/>
    <col min="17" max="17" width="25.88671875" style="105" customWidth="1"/>
    <col min="18" max="16384" width="9.109375" style="105"/>
  </cols>
  <sheetData>
    <row r="1" spans="1:19" s="89" customFormat="1" ht="40.5" customHeight="1">
      <c r="A1" s="85" t="s">
        <v>73</v>
      </c>
      <c r="B1" s="86" t="s">
        <v>1</v>
      </c>
      <c r="C1" s="85" t="s">
        <v>74</v>
      </c>
      <c r="D1" s="85" t="s">
        <v>0</v>
      </c>
      <c r="E1" s="85" t="s">
        <v>364</v>
      </c>
      <c r="F1" s="87" t="s">
        <v>75</v>
      </c>
      <c r="G1" s="85" t="s">
        <v>365</v>
      </c>
      <c r="H1" s="85" t="s">
        <v>77</v>
      </c>
      <c r="I1" s="85" t="s">
        <v>78</v>
      </c>
      <c r="J1" s="85" t="s">
        <v>79</v>
      </c>
      <c r="K1" s="85" t="s">
        <v>80</v>
      </c>
      <c r="L1" s="85" t="s">
        <v>81</v>
      </c>
      <c r="M1" s="85" t="s">
        <v>82</v>
      </c>
      <c r="N1" s="85" t="s">
        <v>83</v>
      </c>
      <c r="O1" s="85" t="s">
        <v>84</v>
      </c>
      <c r="P1" s="88" t="s">
        <v>366</v>
      </c>
      <c r="Q1" s="85" t="s">
        <v>85</v>
      </c>
      <c r="R1" s="151" t="s">
        <v>562</v>
      </c>
      <c r="S1" s="151" t="s">
        <v>563</v>
      </c>
    </row>
    <row r="2" spans="1:19" s="93" customFormat="1" ht="124.2">
      <c r="A2" s="90">
        <v>1</v>
      </c>
      <c r="B2" s="90" t="s">
        <v>68</v>
      </c>
      <c r="C2" s="90" t="s">
        <v>311</v>
      </c>
      <c r="D2" s="90" t="s">
        <v>60</v>
      </c>
      <c r="E2" s="90" t="s">
        <v>367</v>
      </c>
      <c r="F2" s="90" t="s">
        <v>110</v>
      </c>
      <c r="G2" s="90" t="s">
        <v>312</v>
      </c>
      <c r="H2" s="90" t="s">
        <v>313</v>
      </c>
      <c r="I2" s="91" t="s">
        <v>314</v>
      </c>
      <c r="J2" s="90">
        <v>38733777260</v>
      </c>
      <c r="K2" s="91" t="s">
        <v>315</v>
      </c>
      <c r="L2" s="90" t="s">
        <v>316</v>
      </c>
      <c r="M2" s="90" t="s">
        <v>317</v>
      </c>
      <c r="N2" s="90" t="s">
        <v>368</v>
      </c>
      <c r="O2" s="90"/>
      <c r="P2" s="92" t="s">
        <v>369</v>
      </c>
      <c r="Q2" s="90"/>
      <c r="R2" s="93">
        <f>IFERROR(VLOOKUP(Table2[[#This Row],[Adresa]],Sheet1!$A$1:$C$20,2,0),0)</f>
        <v>43.833867749999897</v>
      </c>
      <c r="S2" s="93">
        <f>IFERROR(VLOOKUP(Table2[[#This Row],[Adresa]],Sheet1!$A$1:$C$20,2,0),0)</f>
        <v>43.833867749999897</v>
      </c>
    </row>
    <row r="3" spans="1:19" s="93" customFormat="1" ht="345">
      <c r="A3" s="90">
        <v>3</v>
      </c>
      <c r="B3" s="90" t="s">
        <v>524</v>
      </c>
      <c r="C3" s="90" t="s">
        <v>255</v>
      </c>
      <c r="D3" s="131" t="s">
        <v>465</v>
      </c>
      <c r="E3" s="90"/>
      <c r="F3" s="90" t="s">
        <v>271</v>
      </c>
      <c r="G3" s="90" t="s">
        <v>512</v>
      </c>
      <c r="H3" s="90" t="s">
        <v>257</v>
      </c>
      <c r="I3" s="91" t="s">
        <v>258</v>
      </c>
      <c r="J3" s="90">
        <v>38733226445</v>
      </c>
      <c r="K3" s="90"/>
      <c r="L3" s="90" t="s">
        <v>259</v>
      </c>
      <c r="M3" s="90" t="s">
        <v>260</v>
      </c>
      <c r="N3" s="90" t="s">
        <v>261</v>
      </c>
      <c r="O3" s="91" t="s">
        <v>262</v>
      </c>
      <c r="P3" s="92" t="s">
        <v>371</v>
      </c>
      <c r="Q3" s="91" t="s">
        <v>258</v>
      </c>
      <c r="R3" s="93">
        <f>IFERROR(VLOOKUP(Table2[[#This Row],[Adresa]],Sheet1!$A$1:$C$20,2,0),0)</f>
        <v>43.857481149999998</v>
      </c>
      <c r="S3" s="93">
        <f>IFERROR(VLOOKUP(Table2[[#This Row],[Adresa]],Sheet1!$A$1:$C$20,2,0),0)</f>
        <v>43.857481149999998</v>
      </c>
    </row>
    <row r="4" spans="1:19" s="93" customFormat="1" ht="165.6">
      <c r="A4" s="90">
        <v>4</v>
      </c>
      <c r="B4" s="94" t="s">
        <v>5</v>
      </c>
      <c r="C4" s="94" t="s">
        <v>372</v>
      </c>
      <c r="D4" s="131" t="s">
        <v>536</v>
      </c>
      <c r="E4" s="94" t="s">
        <v>374</v>
      </c>
      <c r="F4" s="94" t="s">
        <v>110</v>
      </c>
      <c r="G4" s="94" t="s">
        <v>125</v>
      </c>
      <c r="H4" s="94" t="s">
        <v>126</v>
      </c>
      <c r="I4" s="95" t="s">
        <v>127</v>
      </c>
      <c r="J4" s="90">
        <v>38733492125</v>
      </c>
      <c r="K4" s="96" t="s">
        <v>128</v>
      </c>
      <c r="L4" s="94" t="s">
        <v>129</v>
      </c>
      <c r="M4" s="94" t="s">
        <v>130</v>
      </c>
      <c r="N4" s="94" t="s">
        <v>375</v>
      </c>
      <c r="O4" s="96" t="s">
        <v>132</v>
      </c>
      <c r="P4" s="97" t="s">
        <v>376</v>
      </c>
      <c r="Q4" s="94" t="s">
        <v>133</v>
      </c>
      <c r="R4" s="93">
        <f>IFERROR(VLOOKUP(Table2[[#This Row],[Adresa]],Sheet1!$A$1:$C$20,2,0),0)</f>
        <v>43.851796999999998</v>
      </c>
      <c r="S4" s="93">
        <f>IFERROR(VLOOKUP(Table2[[#This Row],[Adresa]],Sheet1!$A$1:$C$20,2,0),0)</f>
        <v>43.851796999999998</v>
      </c>
    </row>
    <row r="5" spans="1:19" s="93" customFormat="1" ht="216" customHeight="1">
      <c r="A5" s="90">
        <v>5</v>
      </c>
      <c r="B5" s="90" t="s">
        <v>69</v>
      </c>
      <c r="C5" s="90" t="s">
        <v>319</v>
      </c>
      <c r="D5" s="90" t="s">
        <v>60</v>
      </c>
      <c r="E5" s="90"/>
      <c r="F5" s="90" t="s">
        <v>110</v>
      </c>
      <c r="G5" s="90" t="s">
        <v>312</v>
      </c>
      <c r="H5" s="90" t="s">
        <v>265</v>
      </c>
      <c r="I5" s="90" t="s">
        <v>377</v>
      </c>
      <c r="J5" s="90" t="s">
        <v>378</v>
      </c>
      <c r="K5" s="90" t="s">
        <v>379</v>
      </c>
      <c r="L5" s="90" t="s">
        <v>320</v>
      </c>
      <c r="M5" s="113" t="s">
        <v>380</v>
      </c>
      <c r="N5" s="113" t="s">
        <v>381</v>
      </c>
      <c r="O5" s="74" t="s">
        <v>382</v>
      </c>
      <c r="P5" s="92"/>
      <c r="Q5" s="90" t="s">
        <v>321</v>
      </c>
      <c r="R5" s="93">
        <f>IFERROR(VLOOKUP(Table2[[#This Row],[Adresa]],Sheet1!$A$1:$C$20,2,0),0)</f>
        <v>43.857349450000001</v>
      </c>
      <c r="S5" s="93">
        <f>IFERROR(VLOOKUP(Table2[[#This Row],[Adresa]],Sheet1!$A$1:$C$20,2,0),0)</f>
        <v>43.857349450000001</v>
      </c>
    </row>
    <row r="6" spans="1:19" s="93" customFormat="1" ht="179.4">
      <c r="A6" s="90">
        <v>6</v>
      </c>
      <c r="B6" s="90" t="s">
        <v>62</v>
      </c>
      <c r="C6" s="90" t="s">
        <v>322</v>
      </c>
      <c r="D6" s="90" t="s">
        <v>60</v>
      </c>
      <c r="E6" s="90" t="s">
        <v>383</v>
      </c>
      <c r="F6" s="90" t="s">
        <v>110</v>
      </c>
      <c r="G6" s="90" t="s">
        <v>284</v>
      </c>
      <c r="H6" s="90" t="s">
        <v>285</v>
      </c>
      <c r="I6" s="98" t="s">
        <v>323</v>
      </c>
      <c r="J6" s="90">
        <v>38733562379</v>
      </c>
      <c r="K6" s="90" t="s">
        <v>332</v>
      </c>
      <c r="L6" s="90"/>
      <c r="M6" s="90" t="s">
        <v>513</v>
      </c>
      <c r="N6" s="90" t="s">
        <v>514</v>
      </c>
      <c r="O6" s="91" t="s">
        <v>327</v>
      </c>
      <c r="P6" s="92"/>
      <c r="Q6" s="90" t="s">
        <v>328</v>
      </c>
      <c r="R6" s="93">
        <f>IFERROR(VLOOKUP(Table2[[#This Row],[Adresa]],Sheet1!$A$1:$C$20,2,0),0)</f>
        <v>43.857201400000001</v>
      </c>
      <c r="S6" s="93">
        <f>IFERROR(VLOOKUP(Table2[[#This Row],[Adresa]],Sheet1!$A$1:$C$20,2,0),0)</f>
        <v>43.857201400000001</v>
      </c>
    </row>
    <row r="7" spans="1:19" s="93" customFormat="1" ht="132" customHeight="1">
      <c r="A7" s="90">
        <v>7</v>
      </c>
      <c r="B7" s="131" t="s">
        <v>469</v>
      </c>
      <c r="C7" s="131" t="s">
        <v>466</v>
      </c>
      <c r="D7" s="90" t="s">
        <v>536</v>
      </c>
      <c r="E7" s="99" t="s">
        <v>374</v>
      </c>
      <c r="F7" s="99" t="s">
        <v>88</v>
      </c>
      <c r="G7" s="99" t="s">
        <v>135</v>
      </c>
      <c r="H7" s="99" t="s">
        <v>90</v>
      </c>
      <c r="I7" s="100" t="s">
        <v>91</v>
      </c>
      <c r="J7" s="90">
        <v>38733725207</v>
      </c>
      <c r="K7" s="100" t="s">
        <v>92</v>
      </c>
      <c r="L7" s="131" t="s">
        <v>136</v>
      </c>
      <c r="M7" s="99" t="s">
        <v>137</v>
      </c>
      <c r="N7" s="99" t="s">
        <v>95</v>
      </c>
      <c r="O7" s="99" t="s">
        <v>95</v>
      </c>
      <c r="P7" s="99" t="s">
        <v>95</v>
      </c>
      <c r="Q7" s="99" t="s">
        <v>95</v>
      </c>
      <c r="R7" s="93">
        <f>IFERROR(VLOOKUP(Table2[[#This Row],[Adresa]],Sheet1!$A$1:$C$20,2,0),0)</f>
        <v>43.85633</v>
      </c>
      <c r="S7" s="93">
        <f>IFERROR(VLOOKUP(Table2[[#This Row],[Adresa]],Sheet1!$A$1:$C$20,2,0),0)</f>
        <v>43.85633</v>
      </c>
    </row>
    <row r="8" spans="1:19" s="93" customFormat="1" ht="86.4">
      <c r="A8" s="90">
        <v>8</v>
      </c>
      <c r="B8" s="90" t="s">
        <v>9</v>
      </c>
      <c r="C8" s="99" t="s">
        <v>138</v>
      </c>
      <c r="D8" s="90" t="s">
        <v>536</v>
      </c>
      <c r="E8" s="99" t="s">
        <v>374</v>
      </c>
      <c r="F8" s="99" t="s">
        <v>88</v>
      </c>
      <c r="G8" s="99" t="s">
        <v>89</v>
      </c>
      <c r="H8" s="99" t="s">
        <v>90</v>
      </c>
      <c r="I8" s="100" t="s">
        <v>91</v>
      </c>
      <c r="J8" s="90">
        <v>38733725207</v>
      </c>
      <c r="K8" s="100" t="s">
        <v>92</v>
      </c>
      <c r="L8" s="99" t="s">
        <v>139</v>
      </c>
      <c r="M8" s="99" t="s">
        <v>140</v>
      </c>
      <c r="N8" s="114" t="s">
        <v>384</v>
      </c>
      <c r="O8" s="115" t="s">
        <v>385</v>
      </c>
      <c r="P8" s="99" t="s">
        <v>95</v>
      </c>
      <c r="Q8" s="99" t="s">
        <v>95</v>
      </c>
      <c r="R8" s="93">
        <f>IFERROR(VLOOKUP(Table2[[#This Row],[Adresa]],Sheet1!$A$1:$C$20,2,0),0)</f>
        <v>43.85633</v>
      </c>
      <c r="S8" s="93">
        <f>IFERROR(VLOOKUP(Table2[[#This Row],[Adresa]],Sheet1!$A$1:$C$20,2,0),0)</f>
        <v>43.85633</v>
      </c>
    </row>
    <row r="9" spans="1:19" s="93" customFormat="1" ht="409.6">
      <c r="A9" s="90">
        <v>9</v>
      </c>
      <c r="B9" s="131" t="s">
        <v>468</v>
      </c>
      <c r="C9" s="131" t="s">
        <v>515</v>
      </c>
      <c r="D9" s="90" t="s">
        <v>536</v>
      </c>
      <c r="E9" s="99" t="s">
        <v>374</v>
      </c>
      <c r="F9" s="99" t="s">
        <v>88</v>
      </c>
      <c r="G9" s="99" t="s">
        <v>89</v>
      </c>
      <c r="H9" s="99" t="s">
        <v>90</v>
      </c>
      <c r="I9" s="100" t="s">
        <v>91</v>
      </c>
      <c r="J9" s="90">
        <v>38733725207</v>
      </c>
      <c r="K9" s="100" t="s">
        <v>92</v>
      </c>
      <c r="L9" s="101" t="s">
        <v>142</v>
      </c>
      <c r="M9" s="99" t="s">
        <v>143</v>
      </c>
      <c r="N9" s="114" t="s">
        <v>386</v>
      </c>
      <c r="O9" s="115" t="s">
        <v>387</v>
      </c>
      <c r="P9" s="99" t="s">
        <v>95</v>
      </c>
      <c r="Q9" s="99" t="s">
        <v>516</v>
      </c>
      <c r="R9" s="93">
        <f>IFERROR(VLOOKUP(Table2[[#This Row],[Adresa]],Sheet1!$A$1:$C$20,2,0),0)</f>
        <v>43.85633</v>
      </c>
      <c r="S9" s="93">
        <f>IFERROR(VLOOKUP(Table2[[#This Row],[Adresa]],Sheet1!$A$1:$C$20,2,0),0)</f>
        <v>43.85633</v>
      </c>
    </row>
    <row r="10" spans="1:19" s="93" customFormat="1" ht="82.8">
      <c r="A10" s="90">
        <v>10</v>
      </c>
      <c r="B10" s="90" t="s">
        <v>42</v>
      </c>
      <c r="C10" s="90" t="s">
        <v>561</v>
      </c>
      <c r="D10" s="90" t="s">
        <v>465</v>
      </c>
      <c r="E10" s="90" t="s">
        <v>374</v>
      </c>
      <c r="F10" s="90" t="s">
        <v>88</v>
      </c>
      <c r="G10" s="90" t="s">
        <v>264</v>
      </c>
      <c r="H10" s="90" t="s">
        <v>265</v>
      </c>
      <c r="I10" s="91" t="s">
        <v>266</v>
      </c>
      <c r="J10" s="90">
        <v>38733562027</v>
      </c>
      <c r="K10" s="91" t="s">
        <v>267</v>
      </c>
      <c r="L10" s="90" t="s">
        <v>268</v>
      </c>
      <c r="M10" s="90"/>
      <c r="N10" s="91" t="s">
        <v>269</v>
      </c>
      <c r="O10" s="91" t="s">
        <v>269</v>
      </c>
      <c r="P10" s="92"/>
      <c r="Q10" s="90"/>
      <c r="R10" s="93">
        <f>IFERROR(VLOOKUP(Table2[[#This Row],[Adresa]],Sheet1!$A$1:$C$20,2,0),0)</f>
        <v>43.857349450000001</v>
      </c>
      <c r="S10" s="93">
        <f>IFERROR(VLOOKUP(Table2[[#This Row],[Adresa]],Sheet1!$A$1:$C$20,2,0),0)</f>
        <v>43.857349450000001</v>
      </c>
    </row>
    <row r="11" spans="1:19" s="93" customFormat="1" ht="124.2">
      <c r="A11" s="90">
        <v>11</v>
      </c>
      <c r="B11" s="90" t="s">
        <v>34</v>
      </c>
      <c r="C11" s="131" t="s">
        <v>208</v>
      </c>
      <c r="D11" s="131" t="s">
        <v>467</v>
      </c>
      <c r="E11" s="99" t="s">
        <v>389</v>
      </c>
      <c r="F11" s="99" t="s">
        <v>88</v>
      </c>
      <c r="G11" s="99" t="s">
        <v>89</v>
      </c>
      <c r="H11" s="99" t="s">
        <v>90</v>
      </c>
      <c r="I11" s="100" t="s">
        <v>91</v>
      </c>
      <c r="J11" s="90">
        <v>38733725207</v>
      </c>
      <c r="K11" s="100" t="s">
        <v>92</v>
      </c>
      <c r="L11" s="99" t="s">
        <v>209</v>
      </c>
      <c r="M11" s="99" t="s">
        <v>210</v>
      </c>
      <c r="N11" s="114" t="s">
        <v>390</v>
      </c>
      <c r="O11" s="115" t="s">
        <v>391</v>
      </c>
      <c r="P11" s="99" t="s">
        <v>95</v>
      </c>
      <c r="Q11" s="99" t="s">
        <v>95</v>
      </c>
      <c r="R11" s="93">
        <f>IFERROR(VLOOKUP(Table2[[#This Row],[Adresa]],Sheet1!$A$1:$C$20,2,0),0)</f>
        <v>43.85633</v>
      </c>
      <c r="S11" s="93">
        <f>IFERROR(VLOOKUP(Table2[[#This Row],[Adresa]],Sheet1!$A$1:$C$20,2,0),0)</f>
        <v>43.85633</v>
      </c>
    </row>
    <row r="12" spans="1:19" s="93" customFormat="1" ht="220.8">
      <c r="A12" s="90">
        <v>12</v>
      </c>
      <c r="B12" s="90" t="s">
        <v>35</v>
      </c>
      <c r="C12" s="90" t="s">
        <v>211</v>
      </c>
      <c r="D12" s="131" t="s">
        <v>467</v>
      </c>
      <c r="E12" s="90" t="s">
        <v>392</v>
      </c>
      <c r="F12" s="90" t="s">
        <v>88</v>
      </c>
      <c r="G12" s="90" t="s">
        <v>212</v>
      </c>
      <c r="H12" s="90" t="s">
        <v>213</v>
      </c>
      <c r="I12" s="91" t="s">
        <v>214</v>
      </c>
      <c r="J12" s="90">
        <v>38733291190</v>
      </c>
      <c r="K12" s="90" t="s">
        <v>215</v>
      </c>
      <c r="L12" s="90" t="s">
        <v>216</v>
      </c>
      <c r="M12" s="90" t="s">
        <v>217</v>
      </c>
      <c r="N12" s="90" t="s">
        <v>218</v>
      </c>
      <c r="O12" s="90" t="s">
        <v>219</v>
      </c>
      <c r="P12" s="92"/>
      <c r="Q12" s="90" t="s">
        <v>220</v>
      </c>
      <c r="R12" s="93">
        <f>IFERROR(VLOOKUP(Table2[[#This Row],[Adresa]],Sheet1!$A$1:$C$20,2,0),0)</f>
        <v>43.84666275</v>
      </c>
      <c r="S12" s="93">
        <f>IFERROR(VLOOKUP(Table2[[#This Row],[Adresa]],Sheet1!$A$1:$C$20,2,0),0)</f>
        <v>43.84666275</v>
      </c>
    </row>
    <row r="13" spans="1:19" s="93" customFormat="1" ht="55.2">
      <c r="A13" s="90">
        <v>13</v>
      </c>
      <c r="B13" s="90" t="s">
        <v>11</v>
      </c>
      <c r="C13" s="90" t="s">
        <v>109</v>
      </c>
      <c r="D13" s="131" t="s">
        <v>467</v>
      </c>
      <c r="E13" s="90" t="s">
        <v>392</v>
      </c>
      <c r="F13" s="90" t="s">
        <v>110</v>
      </c>
      <c r="G13" s="90" t="s">
        <v>111</v>
      </c>
      <c r="H13" s="90" t="s">
        <v>112</v>
      </c>
      <c r="I13" s="91" t="s">
        <v>113</v>
      </c>
      <c r="J13" s="90">
        <v>38733723640</v>
      </c>
      <c r="K13" s="91" t="s">
        <v>114</v>
      </c>
      <c r="L13" s="90" t="s">
        <v>115</v>
      </c>
      <c r="M13" s="90"/>
      <c r="N13" s="91" t="s">
        <v>116</v>
      </c>
      <c r="O13" s="91" t="s">
        <v>116</v>
      </c>
      <c r="P13" s="92"/>
      <c r="Q13" s="90"/>
      <c r="R13" s="93">
        <f>IFERROR(VLOOKUP(Table2[[#This Row],[Adresa]],Sheet1!$A$1:$C$20,2,0),0)</f>
        <v>43.843953499999998</v>
      </c>
      <c r="S13" s="93">
        <f>IFERROR(VLOOKUP(Table2[[#This Row],[Adresa]],Sheet1!$A$1:$C$20,2,0),0)</f>
        <v>43.843953499999998</v>
      </c>
    </row>
    <row r="14" spans="1:19" s="93" customFormat="1" ht="82.8">
      <c r="A14" s="90">
        <v>14</v>
      </c>
      <c r="B14" s="90" t="s">
        <v>53</v>
      </c>
      <c r="C14" s="90" t="s">
        <v>281</v>
      </c>
      <c r="D14" s="90" t="s">
        <v>51</v>
      </c>
      <c r="E14" s="90" t="s">
        <v>392</v>
      </c>
      <c r="F14" s="90" t="s">
        <v>110</v>
      </c>
      <c r="G14" s="90" t="s">
        <v>111</v>
      </c>
      <c r="H14" s="90" t="s">
        <v>112</v>
      </c>
      <c r="I14" s="91" t="s">
        <v>113</v>
      </c>
      <c r="J14" s="90">
        <v>38733723635</v>
      </c>
      <c r="K14" s="91" t="s">
        <v>145</v>
      </c>
      <c r="L14" s="90" t="s">
        <v>146</v>
      </c>
      <c r="M14" s="90"/>
      <c r="N14" s="91" t="s">
        <v>282</v>
      </c>
      <c r="O14" s="91" t="s">
        <v>282</v>
      </c>
      <c r="P14" s="92"/>
      <c r="Q14" s="90"/>
      <c r="R14" s="93">
        <f>IFERROR(VLOOKUP(Table2[[#This Row],[Adresa]],Sheet1!$A$1:$C$20,2,0),0)</f>
        <v>43.843953499999998</v>
      </c>
      <c r="S14" s="93">
        <f>IFERROR(VLOOKUP(Table2[[#This Row],[Adresa]],Sheet1!$A$1:$C$20,2,0),0)</f>
        <v>43.843953499999998</v>
      </c>
    </row>
    <row r="15" spans="1:19" s="93" customFormat="1" ht="234.6">
      <c r="A15" s="90">
        <v>15</v>
      </c>
      <c r="B15" s="90" t="s">
        <v>17</v>
      </c>
      <c r="C15" s="90" t="s">
        <v>553</v>
      </c>
      <c r="D15" s="90" t="s">
        <v>536</v>
      </c>
      <c r="E15" s="90" t="s">
        <v>374</v>
      </c>
      <c r="F15" s="90" t="s">
        <v>110</v>
      </c>
      <c r="G15" s="90" t="s">
        <v>111</v>
      </c>
      <c r="H15" s="90" t="s">
        <v>112</v>
      </c>
      <c r="I15" s="91" t="s">
        <v>113</v>
      </c>
      <c r="J15" s="90">
        <v>38733723635</v>
      </c>
      <c r="K15" s="91" t="s">
        <v>145</v>
      </c>
      <c r="L15" s="90" t="s">
        <v>146</v>
      </c>
      <c r="M15" s="90" t="s">
        <v>147</v>
      </c>
      <c r="N15" s="91" t="s">
        <v>148</v>
      </c>
      <c r="O15" s="91" t="s">
        <v>148</v>
      </c>
      <c r="P15" s="92">
        <v>60</v>
      </c>
      <c r="Q15" s="90"/>
      <c r="R15" s="93">
        <f>IFERROR(VLOOKUP(Table2[[#This Row],[Adresa]],Sheet1!$A$1:$C$20,2,0),0)</f>
        <v>43.843953499999998</v>
      </c>
      <c r="S15" s="93">
        <f>IFERROR(VLOOKUP(Table2[[#This Row],[Adresa]],Sheet1!$A$1:$C$20,2,0),0)</f>
        <v>43.843953499999998</v>
      </c>
    </row>
    <row r="16" spans="1:19" s="93" customFormat="1" ht="96" customHeight="1">
      <c r="A16" s="90">
        <v>16</v>
      </c>
      <c r="B16" s="99" t="s">
        <v>63</v>
      </c>
      <c r="C16" s="99" t="s">
        <v>329</v>
      </c>
      <c r="D16" s="99" t="s">
        <v>60</v>
      </c>
      <c r="E16" s="92" t="s">
        <v>367</v>
      </c>
      <c r="F16" s="90" t="s">
        <v>110</v>
      </c>
      <c r="G16" s="90" t="s">
        <v>394</v>
      </c>
      <c r="H16" s="90" t="s">
        <v>112</v>
      </c>
      <c r="I16" s="91" t="s">
        <v>113</v>
      </c>
      <c r="J16" s="90">
        <v>38733723635</v>
      </c>
      <c r="K16" s="91" t="s">
        <v>145</v>
      </c>
      <c r="L16" s="99" t="s">
        <v>146</v>
      </c>
      <c r="M16" s="90" t="s">
        <v>330</v>
      </c>
      <c r="N16" s="91" t="s">
        <v>331</v>
      </c>
      <c r="O16" s="91" t="s">
        <v>331</v>
      </c>
      <c r="P16" s="92">
        <v>60</v>
      </c>
      <c r="Q16" s="90"/>
      <c r="R16" s="93">
        <f>IFERROR(VLOOKUP(Table2[[#This Row],[Adresa]],Sheet1!$A$1:$C$20,2,0),0)</f>
        <v>43.843953499999998</v>
      </c>
      <c r="S16" s="93">
        <f>IFERROR(VLOOKUP(Table2[[#This Row],[Adresa]],Sheet1!$A$1:$C$20,2,0),0)</f>
        <v>43.843953499999998</v>
      </c>
    </row>
    <row r="17" spans="1:19" s="93" customFormat="1" ht="151.80000000000001">
      <c r="A17" s="90">
        <v>17</v>
      </c>
      <c r="B17" s="90" t="s">
        <v>46</v>
      </c>
      <c r="C17" s="90" t="s">
        <v>236</v>
      </c>
      <c r="D17" s="90" t="s">
        <v>40</v>
      </c>
      <c r="E17" s="90" t="s">
        <v>374</v>
      </c>
      <c r="F17" s="90" t="s">
        <v>110</v>
      </c>
      <c r="G17" s="90" t="s">
        <v>394</v>
      </c>
      <c r="H17" s="90" t="s">
        <v>112</v>
      </c>
      <c r="I17" s="91" t="s">
        <v>113</v>
      </c>
      <c r="J17" s="90">
        <v>38733723635</v>
      </c>
      <c r="K17" s="91" t="s">
        <v>145</v>
      </c>
      <c r="L17" s="90" t="s">
        <v>237</v>
      </c>
      <c r="M17" s="90" t="s">
        <v>238</v>
      </c>
      <c r="N17" s="102" t="s">
        <v>239</v>
      </c>
      <c r="O17" s="91" t="s">
        <v>240</v>
      </c>
      <c r="P17" s="92">
        <v>60</v>
      </c>
      <c r="Q17" s="90"/>
      <c r="R17" s="93">
        <f>IFERROR(VLOOKUP(Table2[[#This Row],[Adresa]],Sheet1!$A$1:$C$20,2,0),0)</f>
        <v>43.843953499999998</v>
      </c>
      <c r="S17" s="93">
        <f>IFERROR(VLOOKUP(Table2[[#This Row],[Adresa]],Sheet1!$A$1:$C$20,2,0),0)</f>
        <v>43.843953499999998</v>
      </c>
    </row>
    <row r="18" spans="1:19" s="93" customFormat="1" ht="303.60000000000002">
      <c r="A18" s="90">
        <v>18</v>
      </c>
      <c r="B18" s="90" t="s">
        <v>47</v>
      </c>
      <c r="C18" s="90" t="s">
        <v>241</v>
      </c>
      <c r="D18" s="90" t="s">
        <v>40</v>
      </c>
      <c r="E18" s="90" t="s">
        <v>374</v>
      </c>
      <c r="F18" s="90" t="s">
        <v>222</v>
      </c>
      <c r="G18" s="90" t="s">
        <v>242</v>
      </c>
      <c r="H18" s="90" t="s">
        <v>243</v>
      </c>
      <c r="I18" s="91" t="s">
        <v>244</v>
      </c>
      <c r="J18" s="90">
        <v>38733717740</v>
      </c>
      <c r="K18" s="91" t="s">
        <v>245</v>
      </c>
      <c r="L18" s="90" t="s">
        <v>246</v>
      </c>
      <c r="M18" s="90" t="s">
        <v>247</v>
      </c>
      <c r="N18" s="90" t="s">
        <v>248</v>
      </c>
      <c r="O18" s="91" t="s">
        <v>249</v>
      </c>
      <c r="P18" s="92"/>
      <c r="Q18" s="90" t="s">
        <v>250</v>
      </c>
      <c r="R18" s="93">
        <f>IFERROR(VLOOKUP(Table2[[#This Row],[Adresa]],Sheet1!$A$1:$C$20,2,0),0)</f>
        <v>43.85358815</v>
      </c>
      <c r="S18" s="93">
        <f>IFERROR(VLOOKUP(Table2[[#This Row],[Adresa]],Sheet1!$A$1:$C$20,2,0),0)</f>
        <v>43.85358815</v>
      </c>
    </row>
    <row r="19" spans="1:19" s="93" customFormat="1" ht="179.4">
      <c r="A19" s="90">
        <v>19</v>
      </c>
      <c r="B19" s="90" t="s">
        <v>20</v>
      </c>
      <c r="C19" s="90" t="s">
        <v>149</v>
      </c>
      <c r="D19" s="90" t="s">
        <v>536</v>
      </c>
      <c r="E19" s="90" t="s">
        <v>374</v>
      </c>
      <c r="F19" s="90" t="s">
        <v>110</v>
      </c>
      <c r="G19" s="90" t="s">
        <v>111</v>
      </c>
      <c r="H19" s="90" t="s">
        <v>112</v>
      </c>
      <c r="I19" s="91" t="s">
        <v>113</v>
      </c>
      <c r="J19" s="90">
        <v>38733723635</v>
      </c>
      <c r="K19" s="91" t="s">
        <v>145</v>
      </c>
      <c r="L19" s="90" t="s">
        <v>146</v>
      </c>
      <c r="M19" s="90" t="s">
        <v>150</v>
      </c>
      <c r="N19" s="91" t="s">
        <v>151</v>
      </c>
      <c r="O19" s="91" t="s">
        <v>151</v>
      </c>
      <c r="P19" s="92">
        <v>60</v>
      </c>
      <c r="Q19" s="90"/>
      <c r="R19" s="93">
        <f>IFERROR(VLOOKUP(Table2[[#This Row],[Adresa]],Sheet1!$A$1:$C$20,2,0),0)</f>
        <v>43.843953499999998</v>
      </c>
      <c r="S19" s="93">
        <f>IFERROR(VLOOKUP(Table2[[#This Row],[Adresa]],Sheet1!$A$1:$C$20,2,0),0)</f>
        <v>43.843953499999998</v>
      </c>
    </row>
    <row r="20" spans="1:19" s="93" customFormat="1" ht="55.2">
      <c r="A20" s="90">
        <v>20</v>
      </c>
      <c r="B20" s="90" t="s">
        <v>518</v>
      </c>
      <c r="C20" s="90" t="s">
        <v>517</v>
      </c>
      <c r="D20" s="90" t="s">
        <v>536</v>
      </c>
      <c r="E20" s="90" t="s">
        <v>374</v>
      </c>
      <c r="F20" s="90" t="s">
        <v>110</v>
      </c>
      <c r="G20" s="90" t="s">
        <v>111</v>
      </c>
      <c r="H20" s="90" t="s">
        <v>112</v>
      </c>
      <c r="I20" s="91" t="s">
        <v>113</v>
      </c>
      <c r="J20" s="90">
        <v>38733723635</v>
      </c>
      <c r="K20" s="91" t="s">
        <v>145</v>
      </c>
      <c r="L20" s="90" t="s">
        <v>146</v>
      </c>
      <c r="M20" s="90" t="s">
        <v>153</v>
      </c>
      <c r="N20" s="91" t="s">
        <v>154</v>
      </c>
      <c r="O20" s="91" t="s">
        <v>154</v>
      </c>
      <c r="P20" s="92">
        <v>60</v>
      </c>
      <c r="Q20" s="90"/>
      <c r="R20" s="93">
        <f>IFERROR(VLOOKUP(Table2[[#This Row],[Adresa]],Sheet1!$A$1:$C$20,2,0),0)</f>
        <v>43.843953499999998</v>
      </c>
      <c r="S20" s="93">
        <f>IFERROR(VLOOKUP(Table2[[#This Row],[Adresa]],Sheet1!$A$1:$C$20,2,0),0)</f>
        <v>43.843953499999998</v>
      </c>
    </row>
    <row r="21" spans="1:19" s="93" customFormat="1" ht="234.6">
      <c r="A21" s="90">
        <v>21</v>
      </c>
      <c r="B21" s="90" t="s">
        <v>25</v>
      </c>
      <c r="C21" s="90" t="s">
        <v>25</v>
      </c>
      <c r="D21" s="131" t="s">
        <v>537</v>
      </c>
      <c r="E21" s="90" t="s">
        <v>392</v>
      </c>
      <c r="F21" s="90" t="s">
        <v>110</v>
      </c>
      <c r="G21" s="90" t="s">
        <v>111</v>
      </c>
      <c r="H21" s="90" t="s">
        <v>112</v>
      </c>
      <c r="I21" s="91" t="s">
        <v>113</v>
      </c>
      <c r="J21" s="90">
        <v>38733723635</v>
      </c>
      <c r="K21" s="91" t="s">
        <v>145</v>
      </c>
      <c r="L21" s="90" t="s">
        <v>155</v>
      </c>
      <c r="M21" s="90" t="s">
        <v>156</v>
      </c>
      <c r="N21" s="91" t="s">
        <v>157</v>
      </c>
      <c r="O21" s="91" t="s">
        <v>158</v>
      </c>
      <c r="P21" s="92"/>
      <c r="Q21" s="90"/>
      <c r="R21" s="93">
        <f>IFERROR(VLOOKUP(Table2[[#This Row],[Adresa]],Sheet1!$A$1:$C$20,2,0),0)</f>
        <v>43.843953499999998</v>
      </c>
      <c r="S21" s="93">
        <f>IFERROR(VLOOKUP(Table2[[#This Row],[Adresa]],Sheet1!$A$1:$C$20,2,0),0)</f>
        <v>43.843953499999998</v>
      </c>
    </row>
    <row r="22" spans="1:19" s="103" customFormat="1" ht="219.75" customHeight="1">
      <c r="A22" s="90">
        <v>22</v>
      </c>
      <c r="B22" s="90" t="s">
        <v>26</v>
      </c>
      <c r="C22" s="99" t="s">
        <v>87</v>
      </c>
      <c r="D22" s="131" t="s">
        <v>536</v>
      </c>
      <c r="E22" s="99" t="s">
        <v>374</v>
      </c>
      <c r="F22" s="99" t="s">
        <v>88</v>
      </c>
      <c r="G22" s="99" t="s">
        <v>89</v>
      </c>
      <c r="H22" s="99" t="s">
        <v>90</v>
      </c>
      <c r="I22" s="100" t="s">
        <v>91</v>
      </c>
      <c r="J22" s="90">
        <v>38733725207</v>
      </c>
      <c r="K22" s="100" t="s">
        <v>92</v>
      </c>
      <c r="L22" s="114" t="s">
        <v>395</v>
      </c>
      <c r="M22" s="116" t="s">
        <v>396</v>
      </c>
      <c r="N22" s="114" t="s">
        <v>397</v>
      </c>
      <c r="O22" s="115" t="s">
        <v>398</v>
      </c>
      <c r="P22" s="99" t="s">
        <v>95</v>
      </c>
      <c r="Q22" s="99" t="s">
        <v>95</v>
      </c>
      <c r="R22" s="93">
        <f>IFERROR(VLOOKUP(Table2[[#This Row],[Adresa]],Sheet1!$A$1:$C$20,2,0),0)</f>
        <v>43.85633</v>
      </c>
      <c r="S22" s="93">
        <f>IFERROR(VLOOKUP(Table2[[#This Row],[Adresa]],Sheet1!$A$1:$C$20,2,0),0)</f>
        <v>43.85633</v>
      </c>
    </row>
    <row r="23" spans="1:19" s="93" customFormat="1" ht="262.2">
      <c r="A23" s="90">
        <v>23</v>
      </c>
      <c r="B23" s="131" t="s">
        <v>64</v>
      </c>
      <c r="C23" s="90" t="s">
        <v>336</v>
      </c>
      <c r="D23" s="90" t="s">
        <v>60</v>
      </c>
      <c r="E23" s="90"/>
      <c r="F23" s="90" t="s">
        <v>110</v>
      </c>
      <c r="G23" s="90" t="s">
        <v>312</v>
      </c>
      <c r="H23" s="90" t="s">
        <v>313</v>
      </c>
      <c r="I23" s="91" t="s">
        <v>314</v>
      </c>
      <c r="J23" s="90">
        <v>38733777260</v>
      </c>
      <c r="K23" s="91" t="s">
        <v>315</v>
      </c>
      <c r="L23" s="90" t="s">
        <v>337</v>
      </c>
      <c r="M23" s="90" t="s">
        <v>399</v>
      </c>
      <c r="N23" s="90" t="s">
        <v>400</v>
      </c>
      <c r="O23" s="90"/>
      <c r="P23" s="92"/>
      <c r="Q23" s="90" t="s">
        <v>340</v>
      </c>
      <c r="R23" s="93">
        <f>IFERROR(VLOOKUP(Table2[[#This Row],[Adresa]],Sheet1!$A$1:$C$20,2,0),0)</f>
        <v>43.833867749999897</v>
      </c>
      <c r="S23" s="93">
        <f>IFERROR(VLOOKUP(Table2[[#This Row],[Adresa]],Sheet1!$A$1:$C$20,2,0),0)</f>
        <v>43.833867749999897</v>
      </c>
    </row>
    <row r="24" spans="1:19" s="93" customFormat="1" ht="55.2">
      <c r="A24" s="90">
        <v>24</v>
      </c>
      <c r="B24" s="90" t="s">
        <v>27</v>
      </c>
      <c r="C24" s="99" t="s">
        <v>203</v>
      </c>
      <c r="D24" s="90" t="s">
        <v>536</v>
      </c>
      <c r="E24" s="99" t="s">
        <v>374</v>
      </c>
      <c r="F24" s="99" t="s">
        <v>88</v>
      </c>
      <c r="G24" s="99" t="s">
        <v>204</v>
      </c>
      <c r="H24" s="99" t="s">
        <v>90</v>
      </c>
      <c r="I24" s="99" t="s">
        <v>91</v>
      </c>
      <c r="J24" s="90">
        <v>38733725207</v>
      </c>
      <c r="K24" s="100" t="s">
        <v>92</v>
      </c>
      <c r="L24" s="99" t="s">
        <v>205</v>
      </c>
      <c r="M24" s="99" t="s">
        <v>206</v>
      </c>
      <c r="N24" s="99" t="s">
        <v>95</v>
      </c>
      <c r="O24" s="99" t="s">
        <v>95</v>
      </c>
      <c r="P24" s="99" t="s">
        <v>95</v>
      </c>
      <c r="Q24" s="99" t="s">
        <v>95</v>
      </c>
      <c r="R24" s="93">
        <f>IFERROR(VLOOKUP(Table2[[#This Row],[Adresa]],Sheet1!$A$1:$C$20,2,0),0)</f>
        <v>43.85633</v>
      </c>
      <c r="S24" s="93">
        <f>IFERROR(VLOOKUP(Table2[[#This Row],[Adresa]],Sheet1!$A$1:$C$20,2,0),0)</f>
        <v>43.85633</v>
      </c>
    </row>
    <row r="25" spans="1:19" s="93" customFormat="1" ht="138">
      <c r="A25" s="90">
        <v>25</v>
      </c>
      <c r="B25" s="90" t="s">
        <v>28</v>
      </c>
      <c r="C25" s="90" t="s">
        <v>117</v>
      </c>
      <c r="D25" s="90" t="s">
        <v>467</v>
      </c>
      <c r="E25" s="90" t="s">
        <v>392</v>
      </c>
      <c r="F25" s="90" t="s">
        <v>110</v>
      </c>
      <c r="G25" s="90" t="s">
        <v>118</v>
      </c>
      <c r="H25" s="90" t="s">
        <v>119</v>
      </c>
      <c r="I25" s="91" t="s">
        <v>120</v>
      </c>
      <c r="J25" s="90">
        <v>38733209044</v>
      </c>
      <c r="K25" s="90" t="s">
        <v>121</v>
      </c>
      <c r="L25" s="90" t="s">
        <v>122</v>
      </c>
      <c r="M25" s="90"/>
      <c r="N25" s="90" t="s">
        <v>519</v>
      </c>
      <c r="O25" s="90"/>
      <c r="P25" s="92"/>
      <c r="Q25" s="90"/>
      <c r="R25" s="93">
        <f>IFERROR(VLOOKUP(Table2[[#This Row],[Adresa]],Sheet1!$A$1:$C$20,2,0),0)</f>
        <v>43.856848849999999</v>
      </c>
      <c r="S25" s="93">
        <f>IFERROR(VLOOKUP(Table2[[#This Row],[Adresa]],Sheet1!$A$1:$C$20,2,0),0)</f>
        <v>43.856848849999999</v>
      </c>
    </row>
    <row r="26" spans="1:19" s="93" customFormat="1" ht="220.8">
      <c r="A26" s="90">
        <v>26</v>
      </c>
      <c r="B26" s="90" t="s">
        <v>65</v>
      </c>
      <c r="C26" s="90" t="s">
        <v>341</v>
      </c>
      <c r="D26" s="90" t="s">
        <v>60</v>
      </c>
      <c r="E26" s="90"/>
      <c r="F26" s="90" t="s">
        <v>110</v>
      </c>
      <c r="G26" s="90" t="s">
        <v>312</v>
      </c>
      <c r="H26" s="90" t="s">
        <v>313</v>
      </c>
      <c r="I26" s="91" t="s">
        <v>314</v>
      </c>
      <c r="J26" s="90">
        <v>38733777260</v>
      </c>
      <c r="K26" s="91" t="s">
        <v>315</v>
      </c>
      <c r="L26" s="90" t="s">
        <v>342</v>
      </c>
      <c r="M26" s="90" t="s">
        <v>343</v>
      </c>
      <c r="N26" s="90" t="s">
        <v>344</v>
      </c>
      <c r="O26" s="90"/>
      <c r="P26" s="92"/>
      <c r="Q26" s="90" t="s">
        <v>345</v>
      </c>
      <c r="R26" s="93">
        <f>IFERROR(VLOOKUP(Table2[[#This Row],[Adresa]],Sheet1!$A$1:$C$20,2,0),0)</f>
        <v>43.833867749999897</v>
      </c>
      <c r="S26" s="93">
        <f>IFERROR(VLOOKUP(Table2[[#This Row],[Adresa]],Sheet1!$A$1:$C$20,2,0),0)</f>
        <v>43.833867749999897</v>
      </c>
    </row>
    <row r="27" spans="1:19" s="93" customFormat="1" ht="409.6">
      <c r="A27" s="90">
        <v>27</v>
      </c>
      <c r="B27" s="90" t="s">
        <v>66</v>
      </c>
      <c r="C27" s="90" t="s">
        <v>322</v>
      </c>
      <c r="D27" s="90" t="s">
        <v>60</v>
      </c>
      <c r="E27" s="90" t="s">
        <v>383</v>
      </c>
      <c r="F27" s="90" t="s">
        <v>110</v>
      </c>
      <c r="G27" s="90" t="s">
        <v>284</v>
      </c>
      <c r="H27" s="90" t="s">
        <v>285</v>
      </c>
      <c r="I27" s="98" t="s">
        <v>323</v>
      </c>
      <c r="J27" s="90">
        <v>38733562379</v>
      </c>
      <c r="K27" s="90" t="s">
        <v>332</v>
      </c>
      <c r="L27" s="90"/>
      <c r="M27" s="90" t="s">
        <v>346</v>
      </c>
      <c r="N27" s="90" t="s">
        <v>520</v>
      </c>
      <c r="O27" s="91" t="s">
        <v>348</v>
      </c>
      <c r="P27" s="92"/>
      <c r="Q27" s="90" t="s">
        <v>328</v>
      </c>
      <c r="R27" s="93">
        <f>IFERROR(VLOOKUP(Table2[[#This Row],[Adresa]],Sheet1!$A$1:$C$20,2,0),0)</f>
        <v>43.857201400000001</v>
      </c>
      <c r="S27" s="93">
        <f>IFERROR(VLOOKUP(Table2[[#This Row],[Adresa]],Sheet1!$A$1:$C$20,2,0),0)</f>
        <v>43.857201400000001</v>
      </c>
    </row>
    <row r="28" spans="1:19" s="93" customFormat="1" ht="409.6">
      <c r="A28" s="90">
        <v>28</v>
      </c>
      <c r="B28" s="90" t="s">
        <v>67</v>
      </c>
      <c r="C28" s="90" t="s">
        <v>322</v>
      </c>
      <c r="D28" s="90" t="s">
        <v>60</v>
      </c>
      <c r="E28" s="90" t="s">
        <v>401</v>
      </c>
      <c r="F28" s="90" t="s">
        <v>110</v>
      </c>
      <c r="G28" s="90" t="s">
        <v>284</v>
      </c>
      <c r="H28" s="90" t="s">
        <v>285</v>
      </c>
      <c r="I28" s="98" t="s">
        <v>323</v>
      </c>
      <c r="J28" s="90">
        <v>38733562379</v>
      </c>
      <c r="K28" s="90" t="s">
        <v>332</v>
      </c>
      <c r="L28" s="90"/>
      <c r="M28" s="90" t="s">
        <v>346</v>
      </c>
      <c r="N28" s="90" t="s">
        <v>520</v>
      </c>
      <c r="O28" s="91" t="s">
        <v>349</v>
      </c>
      <c r="P28" s="92"/>
      <c r="Q28" s="90" t="s">
        <v>328</v>
      </c>
      <c r="R28" s="93">
        <f>IFERROR(VLOOKUP(Table2[[#This Row],[Adresa]],Sheet1!$A$1:$C$20,2,0),0)</f>
        <v>43.857201400000001</v>
      </c>
      <c r="S28" s="93">
        <f>IFERROR(VLOOKUP(Table2[[#This Row],[Adresa]],Sheet1!$A$1:$C$20,2,0),0)</f>
        <v>43.857201400000001</v>
      </c>
    </row>
    <row r="29" spans="1:19" s="93" customFormat="1" ht="409.6">
      <c r="A29" s="90">
        <v>29</v>
      </c>
      <c r="B29" s="131" t="s">
        <v>38</v>
      </c>
      <c r="C29" s="90" t="s">
        <v>402</v>
      </c>
      <c r="D29" s="104" t="s">
        <v>521</v>
      </c>
      <c r="E29" s="99" t="s">
        <v>392</v>
      </c>
      <c r="F29" s="99" t="s">
        <v>271</v>
      </c>
      <c r="G29" s="90" t="s">
        <v>403</v>
      </c>
      <c r="H29" s="90"/>
      <c r="I29" s="91"/>
      <c r="J29" s="90" t="s">
        <v>404</v>
      </c>
      <c r="K29" s="91"/>
      <c r="L29" s="90" t="s">
        <v>405</v>
      </c>
      <c r="M29" s="99" t="s">
        <v>227</v>
      </c>
      <c r="N29" s="90" t="s">
        <v>522</v>
      </c>
      <c r="O29" s="91" t="s">
        <v>229</v>
      </c>
      <c r="P29" s="92"/>
      <c r="Q29" s="90"/>
      <c r="R29" s="93">
        <f>IFERROR(VLOOKUP(Table2[[#This Row],[Adresa]],Sheet1!$A$1:$C$20,2,0),0)</f>
        <v>0</v>
      </c>
      <c r="S29" s="93">
        <f>IFERROR(VLOOKUP(Table2[[#This Row],[Adresa]],Sheet1!$A$1:$C$20,2,0),0)</f>
        <v>0</v>
      </c>
    </row>
    <row r="30" spans="1:19" s="93" customFormat="1" ht="179.4">
      <c r="A30" s="90">
        <v>30</v>
      </c>
      <c r="B30" s="90" t="s">
        <v>70</v>
      </c>
      <c r="C30" s="90" t="s">
        <v>350</v>
      </c>
      <c r="D30" s="90" t="s">
        <v>60</v>
      </c>
      <c r="E30" s="90">
        <v>65</v>
      </c>
      <c r="F30" s="90" t="s">
        <v>88</v>
      </c>
      <c r="G30" s="90" t="s">
        <v>101</v>
      </c>
      <c r="H30" s="90"/>
      <c r="I30" s="90"/>
      <c r="J30" s="90"/>
      <c r="K30" s="90"/>
      <c r="L30" s="90" t="s">
        <v>351</v>
      </c>
      <c r="M30" s="90" t="s">
        <v>352</v>
      </c>
      <c r="N30" s="90" t="s">
        <v>523</v>
      </c>
      <c r="O30" s="90"/>
      <c r="P30" s="92" t="s">
        <v>406</v>
      </c>
      <c r="Q30" s="90" t="s">
        <v>354</v>
      </c>
      <c r="R30" s="93">
        <f>IFERROR(VLOOKUP(Table2[[#This Row],[Adresa]],Sheet1!$A$1:$C$20,2,0),0)</f>
        <v>0</v>
      </c>
      <c r="S30" s="93">
        <f>IFERROR(VLOOKUP(Table2[[#This Row],[Adresa]],Sheet1!$A$1:$C$20,2,0),0)</f>
        <v>0</v>
      </c>
    </row>
    <row r="31" spans="1:19" s="135" customFormat="1" ht="345.6">
      <c r="A31" s="99">
        <v>31</v>
      </c>
      <c r="B31" s="99" t="s">
        <v>477</v>
      </c>
      <c r="C31" s="90" t="s">
        <v>479</v>
      </c>
      <c r="D31" s="90" t="s">
        <v>465</v>
      </c>
      <c r="E31" s="99"/>
      <c r="F31" s="99" t="s">
        <v>480</v>
      </c>
      <c r="G31" s="90" t="s">
        <v>485</v>
      </c>
      <c r="H31" s="90" t="s">
        <v>486</v>
      </c>
      <c r="I31" s="133" t="s">
        <v>487</v>
      </c>
      <c r="J31" s="90" t="s">
        <v>488</v>
      </c>
      <c r="K31" s="133" t="s">
        <v>490</v>
      </c>
      <c r="L31" s="90" t="s">
        <v>484</v>
      </c>
      <c r="M31" s="99"/>
      <c r="N31" s="134" t="s">
        <v>494</v>
      </c>
      <c r="O31" s="133" t="s">
        <v>481</v>
      </c>
      <c r="P31" s="92"/>
      <c r="Q31" s="90"/>
      <c r="R31" s="93">
        <f>IFERROR(VLOOKUP(Table2[[#This Row],[Adresa]],Sheet1!$A$1:$C$20,2,0),0)</f>
        <v>0</v>
      </c>
      <c r="S31" s="93">
        <f>IFERROR(VLOOKUP(Table2[[#This Row],[Adresa]],Sheet1!$A$1:$C$20,2,0),0)</f>
        <v>0</v>
      </c>
    </row>
    <row r="32" spans="1:19" ht="248.4">
      <c r="A32" s="104">
        <v>31</v>
      </c>
      <c r="B32" s="104" t="s">
        <v>493</v>
      </c>
      <c r="C32" s="136" t="s">
        <v>496</v>
      </c>
      <c r="D32" s="136" t="s">
        <v>465</v>
      </c>
      <c r="E32" s="104"/>
      <c r="F32" s="104" t="s">
        <v>480</v>
      </c>
      <c r="G32" s="136" t="s">
        <v>485</v>
      </c>
      <c r="H32" s="136" t="s">
        <v>486</v>
      </c>
      <c r="I32" s="133" t="s">
        <v>487</v>
      </c>
      <c r="J32" s="136" t="s">
        <v>488</v>
      </c>
      <c r="K32" s="133" t="s">
        <v>490</v>
      </c>
      <c r="L32" s="136" t="s">
        <v>497</v>
      </c>
      <c r="M32" s="104"/>
      <c r="N32" s="133" t="s">
        <v>498</v>
      </c>
      <c r="O32" s="133" t="s">
        <v>499</v>
      </c>
      <c r="P32" s="137"/>
      <c r="Q32" s="136"/>
      <c r="R32" s="152">
        <f>IFERROR(VLOOKUP(H32,Sheet1!$A$1:$C$20,2,0),0)</f>
        <v>0</v>
      </c>
      <c r="S32" s="153">
        <f>IFERROR(VLOOKUP(H32,Sheet1!$A$1:$C$20,3,0),0)</f>
        <v>0</v>
      </c>
    </row>
    <row r="33" spans="1:19" ht="409.6">
      <c r="A33" s="104">
        <v>31</v>
      </c>
      <c r="B33" s="104" t="s">
        <v>504</v>
      </c>
      <c r="C33" s="136" t="s">
        <v>503</v>
      </c>
      <c r="D33" s="136" t="s">
        <v>465</v>
      </c>
      <c r="E33" s="104"/>
      <c r="F33" s="104" t="s">
        <v>480</v>
      </c>
      <c r="G33" s="136" t="s">
        <v>485</v>
      </c>
      <c r="H33" s="136" t="s">
        <v>486</v>
      </c>
      <c r="I33" s="133" t="s">
        <v>487</v>
      </c>
      <c r="J33" s="136" t="s">
        <v>488</v>
      </c>
      <c r="K33" s="133" t="s">
        <v>490</v>
      </c>
      <c r="L33" s="136" t="s">
        <v>505</v>
      </c>
      <c r="M33" s="104"/>
      <c r="N33" s="133" t="s">
        <v>500</v>
      </c>
      <c r="O33" s="133" t="s">
        <v>501</v>
      </c>
      <c r="P33" s="137"/>
      <c r="Q33" s="136"/>
      <c r="R33" s="152">
        <f>IFERROR(VLOOKUP(H33,Sheet1!$A$1:$C$20,2,0),0)</f>
        <v>0</v>
      </c>
      <c r="S33" s="153">
        <f>IFERROR(VLOOKUP(H33,Sheet1!$A$1:$C$20,3,0),0)</f>
        <v>0</v>
      </c>
    </row>
  </sheetData>
  <sortState xmlns:xlrd2="http://schemas.microsoft.com/office/spreadsheetml/2017/richdata2" ref="A2:Q30">
    <sortCondition ref="B2:B30"/>
  </sortState>
  <phoneticPr fontId="4" type="noConversion"/>
  <conditionalFormatting sqref="B35:B1048576 B1:B33">
    <cfRule type="duplicateValues" dxfId="3" priority="1"/>
  </conditionalFormatting>
  <dataValidations count="1">
    <dataValidation type="list" allowBlank="1" showInputMessage="1" showErrorMessage="1" sqref="F26 F12 F23" xr:uid="{B142B612-B83B-4802-8CE2-9604B24FEE64}">
      <formula1>#REF!</formula1>
    </dataValidation>
  </dataValidations>
  <hyperlinks>
    <hyperlink ref="I19" r:id="rId1" xr:uid="{78F30DC9-5ED4-40DE-8200-3DE54983BE23}"/>
    <hyperlink ref="O19" r:id="rId2" xr:uid="{C98232D4-5AE3-45CC-8804-9840BB55AC49}"/>
    <hyperlink ref="N19" r:id="rId3" xr:uid="{ACC6BD98-8CC9-4D14-AA33-CE916332F155}"/>
    <hyperlink ref="I16" r:id="rId4" xr:uid="{C8FBBF2D-5870-4E5F-A45F-32BB8A8BC491}"/>
    <hyperlink ref="N16" r:id="rId5" xr:uid="{234168EE-3052-4AF6-9B1D-62198AFCF92D}"/>
    <hyperlink ref="O16" r:id="rId6" xr:uid="{11982154-9A48-4D1E-B3BC-11FBF1EEC458}"/>
    <hyperlink ref="I20" r:id="rId7" xr:uid="{F0E461A7-EC99-4487-B83A-90F2BE67ACD6}"/>
    <hyperlink ref="N20" r:id="rId8" xr:uid="{01079E8E-2EF7-417B-A655-3A54038A6C85}"/>
    <hyperlink ref="O20" r:id="rId9" xr:uid="{55CC15A0-E73E-446C-853A-2EE9D335BD86}"/>
    <hyperlink ref="I17" r:id="rId10" xr:uid="{824EFE2B-AE70-40AC-A447-108320E62C6E}"/>
    <hyperlink ref="O17" r:id="rId11" xr:uid="{52F82578-AF67-4D3F-A448-1FD4D3C7049F}"/>
    <hyperlink ref="N15" r:id="rId12" xr:uid="{74FD427E-625F-4390-88D2-DFA920ED86D7}"/>
    <hyperlink ref="O15" r:id="rId13" xr:uid="{61E764FC-6EE3-4393-B495-6645B3C2602B}"/>
    <hyperlink ref="I15" r:id="rId14" xr:uid="{B2A8868A-48D3-42B6-A5AE-3E1B51623C62}"/>
    <hyperlink ref="I14" r:id="rId15" xr:uid="{C5D7B899-3D31-4EAA-A03F-D405A0DB4DA1}"/>
    <hyperlink ref="N14" r:id="rId16" xr:uid="{6800AE1F-C86D-40A9-B99C-3C9CB504C96C}"/>
    <hyperlink ref="O14" r:id="rId17" xr:uid="{626FD7B4-E199-436B-BCCA-0544D91F4C71}"/>
    <hyperlink ref="I13" r:id="rId18" xr:uid="{205902B0-CC85-4006-B372-C357E849D5C3}"/>
    <hyperlink ref="N13" r:id="rId19" xr:uid="{DABA3E8B-3F97-4C3A-B669-D76AC6A214AD}"/>
    <hyperlink ref="O13" r:id="rId20" xr:uid="{8D5CD303-B256-4EF0-9856-6309602BF962}"/>
    <hyperlink ref="K19" r:id="rId21" xr:uid="{EEF7813A-0E19-474D-8D62-DBE7710D0321}"/>
    <hyperlink ref="K3:K9" r:id="rId22" display="mirsada@kcsr.ba" xr:uid="{5844F741-BCC3-4A56-A9BF-49FA72E96A6A}"/>
    <hyperlink ref="I21" r:id="rId23" xr:uid="{4D6CB5A9-DAA7-4FE6-9B61-39E0C7FD07CD}"/>
    <hyperlink ref="K21" r:id="rId24" xr:uid="{4B4B5F1A-01F2-41C1-9CCE-EFF9786C509D}"/>
    <hyperlink ref="N21" r:id="rId25" xr:uid="{5B3814F5-EDF7-4A48-A53F-64425C26EC2B}"/>
    <hyperlink ref="K13" r:id="rId26" xr:uid="{5B0B4A89-ABD1-4442-A447-5FD4054BA99F}"/>
    <hyperlink ref="O21" r:id="rId27" xr:uid="{3A3D882A-6B31-4FD7-A087-427195A45331}"/>
    <hyperlink ref="N10" r:id="rId28" xr:uid="{64CC2801-2B11-4A84-A5B2-A41DF52550C7}"/>
    <hyperlink ref="O10" r:id="rId29" xr:uid="{3E6C2248-F239-4FD4-B0A1-1C0458171D35}"/>
    <hyperlink ref="K10" r:id="rId30" xr:uid="{9CEE20FF-66C6-46E5-94D5-BA21EB8DEF37}"/>
    <hyperlink ref="I10" r:id="rId31" xr:uid="{984ABFF5-1CB4-4F19-9914-FBC9C04DF783}"/>
    <hyperlink ref="K15" r:id="rId32" xr:uid="{47123BF8-2415-47DD-98A6-42C505621A55}"/>
    <hyperlink ref="I28" r:id="rId33" xr:uid="{60F297B7-C87A-42A9-B6FE-B9FC2B3064CF}"/>
    <hyperlink ref="I27" r:id="rId34" xr:uid="{C44FF3FB-DF90-4DF7-A49B-5EB0179D1EB6}"/>
    <hyperlink ref="I6" r:id="rId35" xr:uid="{CF75739F-2524-4B53-9E75-C7915CD82B4B}"/>
    <hyperlink ref="O28" r:id="rId36" xr:uid="{9E7430AE-90F1-44AB-AC99-0D61C39575A8}"/>
    <hyperlink ref="O27" r:id="rId37" xr:uid="{443FBE89-B924-4874-9514-43331B88053F}"/>
    <hyperlink ref="O6" r:id="rId38" xr:uid="{CB5DF25D-70C0-4A3F-B152-1C759ACD4A87}"/>
    <hyperlink ref="I26" r:id="rId39" xr:uid="{9151D214-AD2D-4EF4-BE3E-C0E6E09E778D}"/>
    <hyperlink ref="K26" r:id="rId40" xr:uid="{1A5B8FB9-157A-492A-8C33-A0F94BEFEA3C}"/>
    <hyperlink ref="I23" r:id="rId41" xr:uid="{015A1891-EE0A-401A-89A9-3AD61E0F97A2}"/>
    <hyperlink ref="K23" r:id="rId42" xr:uid="{3C21A119-9A64-41DA-BEFC-6EF6F547981D}"/>
    <hyperlink ref="I2" r:id="rId43" xr:uid="{805AFDB9-E48D-4E2B-8BAA-CBF26596624A}"/>
    <hyperlink ref="K2" r:id="rId44" xr:uid="{21430A00-E4FC-4A6F-84CB-218D6764716E}"/>
    <hyperlink ref="I25" r:id="rId45" xr:uid="{AD721119-8BD3-4A83-A9A8-1558F97C352F}"/>
    <hyperlink ref="O29" r:id="rId46" xr:uid="{F3D5E297-FB25-43D7-834E-5247CDBF968F}"/>
    <hyperlink ref="K4" r:id="rId47" xr:uid="{C8F9F2B4-370C-4429-956C-26B9E6DE2614}"/>
    <hyperlink ref="O4" r:id="rId48" xr:uid="{66C595A4-547B-43B5-A3CA-0E0E527C66F0}"/>
    <hyperlink ref="I4" r:id="rId49" xr:uid="{39500619-9468-49CD-A6E6-D6C8EE538E6E}"/>
    <hyperlink ref="O3" r:id="rId50" xr:uid="{13A4095D-EB9F-4C6A-9545-69F62A440992}"/>
    <hyperlink ref="O12" r:id="rId51"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41E574C5-EEC0-4343-A8ED-B48967CDACDE}"/>
    <hyperlink ref="I12" r:id="rId52" xr:uid="{FEB6CCE7-4315-4849-80C2-1BC50D2061B9}"/>
    <hyperlink ref="I18" r:id="rId53" xr:uid="{1D75C04E-273C-43B8-A3A0-8C566ED03EEA}"/>
    <hyperlink ref="K18" r:id="rId54" xr:uid="{C2BD38D7-7CFD-48ED-8F49-60300EA0AFD8}"/>
    <hyperlink ref="O18" r:id="rId55" xr:uid="{88D79B1B-5916-4D75-9F88-AFE3DC816702}"/>
    <hyperlink ref="I9" r:id="rId56" xr:uid="{480118F7-7809-4470-9482-56772F0C79C3}"/>
    <hyperlink ref="K9" r:id="rId57" xr:uid="{67C2902E-A83B-44B3-8079-6B4B253557FA}"/>
    <hyperlink ref="I11" r:id="rId58" xr:uid="{11AE68A3-6A83-469B-BECD-D4B5CBE84BBE}"/>
    <hyperlink ref="K11" r:id="rId59" xr:uid="{3409BD2E-76F2-468B-B6FD-7F9FE652CA2C}"/>
    <hyperlink ref="I8" r:id="rId60" xr:uid="{57FF9329-241F-4507-B455-93CB9E8F27F1}"/>
    <hyperlink ref="K8" r:id="rId61" xr:uid="{5A711F07-C21F-4E85-AEC3-9B517DF28B35}"/>
    <hyperlink ref="I22" r:id="rId62" xr:uid="{930E3C08-AAC8-4555-B4CA-87B3C428CF54}"/>
    <hyperlink ref="K22" r:id="rId63" xr:uid="{6C7E6D52-C0FD-4539-A65A-2316AB940369}"/>
    <hyperlink ref="I7" r:id="rId64" xr:uid="{FF158E98-9CF7-40FB-9C11-A4468C5139F4}"/>
    <hyperlink ref="K7" r:id="rId65" xr:uid="{40CBE7C8-5CE2-4794-8508-7E25031D4724}"/>
    <hyperlink ref="K24" r:id="rId66" xr:uid="{851B3371-4B21-4456-8FEA-01FC4C27212D}"/>
    <hyperlink ref="I3" r:id="rId67" xr:uid="{6284B528-DAFD-E848-B480-365321F64A34}"/>
    <hyperlink ref="Q3" r:id="rId68" xr:uid="{353C267C-5362-134F-8108-2950380C116E}"/>
    <hyperlink ref="O5" r:id="rId69" xr:uid="{232A3C59-853A-4847-8626-95140FCB529E}"/>
    <hyperlink ref="O9" r:id="rId70" xr:uid="{5A6C3CDE-F4D7-4F50-94C4-4A5B2A4E8042}"/>
    <hyperlink ref="O8" r:id="rId71" xr:uid="{6748CFA5-678D-4E8D-87F6-51AEC7045DEA}"/>
    <hyperlink ref="O11" r:id="rId72" xr:uid="{F6C7F289-8855-4281-A69A-20EE299729D6}"/>
    <hyperlink ref="O22" r:id="rId73" xr:uid="{C27936DE-394F-4371-AB9B-63426D8D73AD}"/>
    <hyperlink ref="O31" r:id="rId74" xr:uid="{03D22513-EF77-44B7-8E79-6C1018C1C8DD}"/>
    <hyperlink ref="I31" r:id="rId75" xr:uid="{D95003A9-D436-45E3-8F28-579700D5CCCC}"/>
    <hyperlink ref="K31" r:id="rId76" xr:uid="{E3F3173B-8B1C-4D47-B8CC-A2B89F761021}"/>
    <hyperlink ref="N32" r:id="rId77" xr:uid="{24B3945B-35FA-487C-B0A2-16951272B304}"/>
    <hyperlink ref="O32" r:id="rId78" xr:uid="{A410C27D-431B-477D-A4F6-976F1909EB1E}"/>
    <hyperlink ref="I32" r:id="rId79" xr:uid="{5E3AA88C-B3A9-41A3-A1C9-744F3E50FFDF}"/>
    <hyperlink ref="K32" r:id="rId80" xr:uid="{A55D65E6-162F-4F5B-83DD-4EDFE2460CF0}"/>
    <hyperlink ref="K33" r:id="rId81" display="mailto:sonja.toholj@fzmiopio.ba" xr:uid="{5BEBB690-0C50-49F3-997B-76995B15E9D6}"/>
    <hyperlink ref="I33" r:id="rId82" xr:uid="{DFDDE1D1-3F4A-447F-8FFE-8339330A934C}"/>
    <hyperlink ref="N33" r:id="rId83" xr:uid="{A4E01C7A-6DC5-4B94-952B-486A8A21EF77}"/>
    <hyperlink ref="O33" r:id="rId84" xr:uid="{757C55D2-5E74-4E27-A058-1DD25965E4C9}"/>
  </hyperlinks>
  <pageMargins left="0.7" right="0.7" top="0.75" bottom="0.75" header="0.3" footer="0.3"/>
  <pageSetup paperSize="9" orientation="portrait" horizontalDpi="4294967292" verticalDpi="1200" r:id="rId85"/>
  <legacyDrawing r:id="rId86"/>
  <tableParts count="1">
    <tablePart r:id="rId87"/>
  </tableParts>
  <extLst>
    <ext xmlns:x14="http://schemas.microsoft.com/office/spreadsheetml/2009/9/main" uri="{CCE6A557-97BC-4b89-ADB6-D9C93CAAB3DF}">
      <x14:dataValidations xmlns:xm="http://schemas.microsoft.com/office/excel/2006/main" count="1">
        <x14:dataValidation type="list" allowBlank="1" showInputMessage="1" showErrorMessage="1" xr:uid="{A715969D-9B45-4BA0-B156-59BC761BD5CB}">
          <x14:formula1>
            <xm:f>Sheet2!$C$2:$C$22</xm:f>
          </x14:formula1>
          <xm:sqref>F25 F2:F21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97C4-5CE4-4386-BABA-CA4D0DFA0DEA}">
  <sheetPr codeName="Sheet10"/>
  <dimension ref="A1:Q28"/>
  <sheetViews>
    <sheetView showGridLines="0" tabSelected="1" zoomScale="55" zoomScaleNormal="55" workbookViewId="0">
      <pane ySplit="1" topLeftCell="A2" activePane="bottomLeft" state="frozen"/>
      <selection activeCell="B4" sqref="B4"/>
      <selection pane="bottomLeft" activeCell="D12" sqref="D12"/>
    </sheetView>
  </sheetViews>
  <sheetFormatPr defaultColWidth="8.88671875" defaultRowHeight="14.4"/>
  <cols>
    <col min="1" max="1" width="30.88671875" customWidth="1"/>
    <col min="2" max="2" width="40.44140625" style="122" customWidth="1"/>
    <col min="3" max="3" width="25.44140625" customWidth="1"/>
    <col min="4" max="4" width="19.44140625" customWidth="1"/>
    <col min="5" max="5" width="41.6640625" customWidth="1"/>
    <col min="6" max="6" width="24.44140625" customWidth="1"/>
    <col min="8" max="8" width="14.109375" customWidth="1"/>
    <col min="9" max="9" width="17.6640625" customWidth="1"/>
    <col min="10" max="10" width="8.88671875" customWidth="1"/>
    <col min="11" max="11" width="42.6640625" customWidth="1"/>
    <col min="12" max="12" width="17.109375" customWidth="1"/>
    <col min="13" max="13" width="28.88671875" customWidth="1"/>
    <col min="14" max="14" width="18.33203125" customWidth="1"/>
  </cols>
  <sheetData>
    <row r="1" spans="1:16" ht="51.6" customHeight="1">
      <c r="A1" s="108" t="s">
        <v>1</v>
      </c>
      <c r="B1" s="117" t="s">
        <v>74</v>
      </c>
      <c r="C1" s="109" t="s">
        <v>75</v>
      </c>
      <c r="D1" s="118" t="s">
        <v>0</v>
      </c>
      <c r="E1" s="108" t="s">
        <v>407</v>
      </c>
      <c r="F1" s="108" t="s">
        <v>76</v>
      </c>
      <c r="G1" s="108" t="s">
        <v>77</v>
      </c>
      <c r="H1" s="108" t="s">
        <v>78</v>
      </c>
      <c r="I1" s="108" t="s">
        <v>79</v>
      </c>
      <c r="J1" s="108" t="s">
        <v>80</v>
      </c>
      <c r="K1" s="108" t="s">
        <v>408</v>
      </c>
      <c r="L1" s="108" t="s">
        <v>82</v>
      </c>
      <c r="M1" s="108" t="s">
        <v>83</v>
      </c>
      <c r="N1" s="108" t="s">
        <v>84</v>
      </c>
      <c r="O1" s="151" t="s">
        <v>562</v>
      </c>
      <c r="P1" s="151" t="s">
        <v>563</v>
      </c>
    </row>
    <row r="2" spans="1:16" ht="57">
      <c r="A2" s="110" t="s">
        <v>3</v>
      </c>
      <c r="B2" s="110" t="s">
        <v>168</v>
      </c>
      <c r="C2" s="110" t="s">
        <v>88</v>
      </c>
      <c r="D2" s="110" t="s">
        <v>538</v>
      </c>
      <c r="E2" s="110" t="s">
        <v>472</v>
      </c>
      <c r="F2" s="110" t="s">
        <v>169</v>
      </c>
      <c r="G2" s="110" t="s">
        <v>170</v>
      </c>
      <c r="H2" s="84"/>
      <c r="I2" s="119">
        <v>38733285261</v>
      </c>
      <c r="J2" s="84"/>
      <c r="K2" s="110"/>
      <c r="L2" s="110" t="s">
        <v>171</v>
      </c>
      <c r="M2" s="84"/>
      <c r="N2" s="84"/>
      <c r="O2" s="171">
        <f>IFERROR(VLOOKUP(Table5[[#This Row],[Adresa]],Sheet1!$A$1:$C$20,2,0),0)</f>
        <v>43.858553000000001</v>
      </c>
      <c r="P2" s="172">
        <f>IFERROR(VLOOKUP(Table5[[#This Row],[Adresa]],Sheet1!$A$1:$C$20,2,0),0)</f>
        <v>43.858553000000001</v>
      </c>
    </row>
    <row r="3" spans="1:16" ht="125.4">
      <c r="A3" s="111" t="s">
        <v>52</v>
      </c>
      <c r="B3" s="111" t="s">
        <v>495</v>
      </c>
      <c r="C3" s="110" t="s">
        <v>222</v>
      </c>
      <c r="D3" s="82" t="s">
        <v>51</v>
      </c>
      <c r="E3" s="110" t="s">
        <v>411</v>
      </c>
      <c r="F3" s="110" t="s">
        <v>294</v>
      </c>
      <c r="G3" s="110" t="s">
        <v>295</v>
      </c>
      <c r="H3" s="84" t="s">
        <v>296</v>
      </c>
      <c r="I3" s="120">
        <v>38733562128</v>
      </c>
      <c r="J3" s="84" t="s">
        <v>297</v>
      </c>
      <c r="K3" s="110" t="s">
        <v>298</v>
      </c>
      <c r="L3" s="111" t="s">
        <v>299</v>
      </c>
      <c r="M3" s="84"/>
      <c r="N3" s="84"/>
      <c r="O3" s="171">
        <f>IFERROR(VLOOKUP(Table5[[#This Row],[Adresa]],Sheet1!$A$1:$C$20,2,0),0)</f>
        <v>43.857349450000001</v>
      </c>
      <c r="P3" s="172">
        <f>IFERROR(VLOOKUP(Table5[[#This Row],[Adresa]],Sheet1!$A$1:$C$20,2,0),0)</f>
        <v>43.857349450000001</v>
      </c>
    </row>
    <row r="4" spans="1:16" ht="159.6">
      <c r="A4" s="110" t="s">
        <v>412</v>
      </c>
      <c r="B4" s="110" t="s">
        <v>502</v>
      </c>
      <c r="C4" s="110" t="s">
        <v>88</v>
      </c>
      <c r="D4" s="82" t="s">
        <v>423</v>
      </c>
      <c r="E4" s="110"/>
      <c r="F4" s="110" t="s">
        <v>510</v>
      </c>
      <c r="G4" s="110"/>
      <c r="H4" s="84"/>
      <c r="I4" s="110"/>
      <c r="J4" s="84"/>
      <c r="K4" s="110" t="s">
        <v>414</v>
      </c>
      <c r="L4" s="110"/>
      <c r="M4" s="84"/>
      <c r="N4" s="84"/>
      <c r="O4" s="171">
        <f>IFERROR(VLOOKUP(Table5[[#This Row],[Adresa]],Sheet1!$A$1:$C$20,2,0),0)</f>
        <v>0</v>
      </c>
      <c r="P4" s="172">
        <f>IFERROR(VLOOKUP(Table5[[#This Row],[Adresa]],Sheet1!$A$1:$C$20,2,0),0)</f>
        <v>0</v>
      </c>
    </row>
    <row r="5" spans="1:16" ht="136.80000000000001">
      <c r="A5" s="110" t="s">
        <v>6</v>
      </c>
      <c r="B5" s="110" t="s">
        <v>172</v>
      </c>
      <c r="C5" s="110" t="s">
        <v>110</v>
      </c>
      <c r="D5" s="110" t="s">
        <v>538</v>
      </c>
      <c r="E5" s="110" t="s">
        <v>415</v>
      </c>
      <c r="F5" s="110" t="s">
        <v>173</v>
      </c>
      <c r="G5" s="110" t="s">
        <v>174</v>
      </c>
      <c r="H5" s="84" t="s">
        <v>175</v>
      </c>
      <c r="I5" s="120">
        <v>387733637384</v>
      </c>
      <c r="J5" s="84" t="s">
        <v>176</v>
      </c>
      <c r="K5" s="110" t="s">
        <v>177</v>
      </c>
      <c r="L5" s="110" t="s">
        <v>178</v>
      </c>
      <c r="M5" s="110" t="s">
        <v>179</v>
      </c>
      <c r="N5" s="132" t="s">
        <v>180</v>
      </c>
      <c r="O5" s="171">
        <f>IFERROR(VLOOKUP(Table5[[#This Row],[Adresa]],Sheet1!$A$1:$C$20,2,0),0)</f>
        <v>43.829455600000003</v>
      </c>
      <c r="P5" s="172">
        <f>IFERROR(VLOOKUP(Table5[[#This Row],[Adresa]],Sheet1!$A$1:$C$20,2,0),0)</f>
        <v>43.829455600000003</v>
      </c>
    </row>
    <row r="6" spans="1:16" ht="57.6">
      <c r="A6" s="110" t="s">
        <v>61</v>
      </c>
      <c r="B6" s="110" t="s">
        <v>507</v>
      </c>
      <c r="C6" s="110" t="s">
        <v>110</v>
      </c>
      <c r="D6" s="82" t="s">
        <v>60</v>
      </c>
      <c r="E6" s="110" t="s">
        <v>506</v>
      </c>
      <c r="F6" s="110" t="s">
        <v>173</v>
      </c>
      <c r="G6" s="110" t="s">
        <v>174</v>
      </c>
      <c r="H6" s="84"/>
      <c r="I6" s="120">
        <v>387733637384</v>
      </c>
      <c r="J6" s="84" t="s">
        <v>176</v>
      </c>
      <c r="K6" s="110" t="s">
        <v>356</v>
      </c>
      <c r="L6" s="110"/>
      <c r="M6" s="110"/>
      <c r="N6" s="110"/>
      <c r="O6" s="171">
        <f>IFERROR(VLOOKUP(Table5[[#This Row],[Adresa]],Sheet1!$A$1:$C$20,2,0),0)</f>
        <v>43.829455600000003</v>
      </c>
      <c r="P6" s="172">
        <f>IFERROR(VLOOKUP(Table5[[#This Row],[Adresa]],Sheet1!$A$1:$C$20,2,0),0)</f>
        <v>43.829455600000003</v>
      </c>
    </row>
    <row r="7" spans="1:16" ht="144">
      <c r="A7" s="110" t="s">
        <v>474</v>
      </c>
      <c r="B7" s="110" t="s">
        <v>181</v>
      </c>
      <c r="C7" s="110" t="s">
        <v>88</v>
      </c>
      <c r="D7" s="110" t="s">
        <v>538</v>
      </c>
      <c r="E7" s="110" t="s">
        <v>473</v>
      </c>
      <c r="F7" s="110" t="s">
        <v>173</v>
      </c>
      <c r="G7" s="110" t="s">
        <v>174</v>
      </c>
      <c r="H7" s="112" t="s">
        <v>180</v>
      </c>
      <c r="I7" s="120">
        <v>387733637384</v>
      </c>
      <c r="J7" s="84" t="s">
        <v>176</v>
      </c>
      <c r="K7" s="110" t="s">
        <v>182</v>
      </c>
      <c r="L7" s="132" t="s">
        <v>180</v>
      </c>
      <c r="M7" s="132" t="s">
        <v>180</v>
      </c>
      <c r="N7" s="132" t="s">
        <v>180</v>
      </c>
      <c r="O7" s="171">
        <f>IFERROR(VLOOKUP(Table5[[#This Row],[Adresa]],Sheet1!$A$1:$C$20,2,0),0)</f>
        <v>43.829455600000003</v>
      </c>
      <c r="P7" s="172">
        <f>IFERROR(VLOOKUP(Table5[[#This Row],[Adresa]],Sheet1!$A$1:$C$20,2,0),0)</f>
        <v>43.829455600000003</v>
      </c>
    </row>
    <row r="8" spans="1:16" ht="125.4">
      <c r="A8" s="110" t="s">
        <v>43</v>
      </c>
      <c r="B8" s="110" t="s">
        <v>275</v>
      </c>
      <c r="C8" s="110" t="s">
        <v>416</v>
      </c>
      <c r="D8" s="110" t="s">
        <v>538</v>
      </c>
      <c r="E8" s="110"/>
      <c r="F8" s="110" t="s">
        <v>276</v>
      </c>
      <c r="G8" s="110" t="s">
        <v>277</v>
      </c>
      <c r="H8" s="84"/>
      <c r="I8" s="110"/>
      <c r="J8" s="84"/>
      <c r="K8" s="110"/>
      <c r="L8" s="110" t="s">
        <v>278</v>
      </c>
      <c r="M8" s="110" t="s">
        <v>279</v>
      </c>
      <c r="N8" s="84"/>
      <c r="O8" s="171">
        <f>IFERROR(VLOOKUP(Table5[[#This Row],[Adresa]],Sheet1!$A$1:$C$20,2,0),0)</f>
        <v>43.847950949999998</v>
      </c>
      <c r="P8" s="172">
        <f>IFERROR(VLOOKUP(Table5[[#This Row],[Adresa]],Sheet1!$A$1:$C$20,2,0),0)</f>
        <v>43.847950949999998</v>
      </c>
    </row>
    <row r="9" spans="1:16" ht="182.4">
      <c r="A9" s="110" t="s">
        <v>44</v>
      </c>
      <c r="B9" s="110" t="s">
        <v>270</v>
      </c>
      <c r="C9" s="110" t="s">
        <v>271</v>
      </c>
      <c r="D9" s="110" t="s">
        <v>538</v>
      </c>
      <c r="E9" s="110" t="s">
        <v>418</v>
      </c>
      <c r="F9" s="110" t="s">
        <v>272</v>
      </c>
      <c r="G9" s="110"/>
      <c r="H9" s="84"/>
      <c r="I9" s="110"/>
      <c r="J9" s="84"/>
      <c r="K9" s="110"/>
      <c r="L9" s="110" t="s">
        <v>273</v>
      </c>
      <c r="M9" s="121" t="s">
        <v>274</v>
      </c>
      <c r="N9" s="84"/>
      <c r="O9" s="171">
        <f>IFERROR(VLOOKUP(Table5[[#This Row],[Adresa]],Sheet1!$A$1:$C$20,2,0),0)</f>
        <v>0</v>
      </c>
      <c r="P9" s="172">
        <f>IFERROR(VLOOKUP(Table5[[#This Row],[Adresa]],Sheet1!$A$1:$C$20,2,0),0)</f>
        <v>0</v>
      </c>
    </row>
    <row r="10" spans="1:16" ht="172.8">
      <c r="A10" s="110" t="s">
        <v>13</v>
      </c>
      <c r="B10" s="110" t="s">
        <v>185</v>
      </c>
      <c r="C10" s="110" t="s">
        <v>416</v>
      </c>
      <c r="D10" s="110" t="s">
        <v>538</v>
      </c>
      <c r="E10" s="110"/>
      <c r="F10" s="110" t="s">
        <v>187</v>
      </c>
      <c r="G10" s="110" t="s">
        <v>188</v>
      </c>
      <c r="H10" s="84" t="s">
        <v>189</v>
      </c>
      <c r="I10" s="119">
        <v>38733653093</v>
      </c>
      <c r="J10" s="84"/>
      <c r="K10" s="110"/>
      <c r="L10" s="110"/>
      <c r="M10" s="110"/>
      <c r="N10" s="84"/>
      <c r="O10" s="171">
        <f>IFERROR(VLOOKUP(Table5[[#This Row],[Adresa]],Sheet1!$A$1:$C$20,2,0),0)</f>
        <v>43.852587649999997</v>
      </c>
      <c r="P10" s="172">
        <f>IFERROR(VLOOKUP(Table5[[#This Row],[Adresa]],Sheet1!$A$1:$C$20,2,0),0)</f>
        <v>43.852587649999997</v>
      </c>
    </row>
    <row r="11" spans="1:16" ht="102.6">
      <c r="A11" s="110" t="s">
        <v>361</v>
      </c>
      <c r="B11" s="110" t="s">
        <v>190</v>
      </c>
      <c r="C11" s="110" t="s">
        <v>191</v>
      </c>
      <c r="D11" s="111" t="s">
        <v>535</v>
      </c>
      <c r="E11" s="110"/>
      <c r="F11" s="110" t="s">
        <v>511</v>
      </c>
      <c r="G11" s="110"/>
      <c r="H11" s="84"/>
      <c r="I11" s="110"/>
      <c r="J11" s="84"/>
      <c r="K11" s="110" t="s">
        <v>419</v>
      </c>
      <c r="L11" s="110"/>
      <c r="M11" s="110" t="s">
        <v>194</v>
      </c>
      <c r="N11" s="84"/>
      <c r="O11" s="171">
        <f>IFERROR(VLOOKUP(Table5[[#This Row],[Adresa]],Sheet1!$A$1:$C$20,2,0),0)</f>
        <v>0</v>
      </c>
      <c r="P11" s="172">
        <f>IFERROR(VLOOKUP(Table5[[#This Row],[Adresa]],Sheet1!$A$1:$C$20,2,0),0)</f>
        <v>0</v>
      </c>
    </row>
    <row r="12" spans="1:16" ht="248.4">
      <c r="A12" s="94" t="s">
        <v>420</v>
      </c>
      <c r="B12" s="94" t="s">
        <v>508</v>
      </c>
      <c r="C12" s="110" t="s">
        <v>88</v>
      </c>
      <c r="D12" s="110" t="s">
        <v>538</v>
      </c>
      <c r="E12" s="110"/>
      <c r="F12" s="90" t="s">
        <v>97</v>
      </c>
      <c r="G12" s="90" t="s">
        <v>421</v>
      </c>
      <c r="H12" s="100" t="s">
        <v>91</v>
      </c>
      <c r="I12" s="90">
        <v>38733725207</v>
      </c>
      <c r="J12" s="84" t="s">
        <v>92</v>
      </c>
      <c r="K12" s="110"/>
      <c r="L12" s="94" t="s">
        <v>422</v>
      </c>
      <c r="M12" s="84"/>
      <c r="N12" s="84"/>
      <c r="O12" s="171">
        <f>IFERROR(VLOOKUP(Table5[[#This Row],[Adresa]],Sheet1!$A$1:$C$20,2,0),0)</f>
        <v>43.85633</v>
      </c>
      <c r="P12" s="172">
        <f>IFERROR(VLOOKUP(Table5[[#This Row],[Adresa]],Sheet1!$A$1:$C$20,2,0),0)</f>
        <v>43.85633</v>
      </c>
    </row>
    <row r="13" spans="1:16" ht="91.2">
      <c r="A13" s="110" t="s">
        <v>45</v>
      </c>
      <c r="B13" s="110" t="s">
        <v>526</v>
      </c>
      <c r="C13" s="110" t="s">
        <v>271</v>
      </c>
      <c r="D13" s="110" t="s">
        <v>538</v>
      </c>
      <c r="E13" s="110"/>
      <c r="F13" s="110" t="s">
        <v>527</v>
      </c>
      <c r="G13" s="110" t="s">
        <v>528</v>
      </c>
      <c r="H13" s="84" t="s">
        <v>533</v>
      </c>
      <c r="I13" s="110" t="s">
        <v>532</v>
      </c>
      <c r="J13" s="84" t="s">
        <v>531</v>
      </c>
      <c r="K13" s="84" t="s">
        <v>529</v>
      </c>
      <c r="L13" s="110"/>
      <c r="M13" s="110" t="s">
        <v>530</v>
      </c>
      <c r="N13" s="84"/>
      <c r="O13" s="171">
        <f>IFERROR(VLOOKUP(Table5[[#This Row],[Adresa]],Sheet1!$A$1:$C$20,2,0),0)</f>
        <v>0</v>
      </c>
      <c r="P13" s="172">
        <f>IFERROR(VLOOKUP(Table5[[#This Row],[Adresa]],Sheet1!$A$1:$C$20,2,0),0)</f>
        <v>0</v>
      </c>
    </row>
    <row r="14" spans="1:16" ht="125.4">
      <c r="A14" s="110" t="s">
        <v>55</v>
      </c>
      <c r="B14" s="110" t="s">
        <v>302</v>
      </c>
      <c r="C14" s="110" t="s">
        <v>222</v>
      </c>
      <c r="D14" s="82" t="s">
        <v>475</v>
      </c>
      <c r="L14" s="111" t="s">
        <v>299</v>
      </c>
      <c r="O14" s="171">
        <f>IFERROR(VLOOKUP(Table5[[#This Row],[Adresa]],Sheet1!$A$1:$C$20,2,0),0)</f>
        <v>0</v>
      </c>
      <c r="P14" s="172">
        <f>IFERROR(VLOOKUP(Table5[[#This Row],[Adresa]],Sheet1!$A$1:$C$20,2,0),0)</f>
        <v>0</v>
      </c>
    </row>
    <row r="15" spans="1:16" ht="136.80000000000001">
      <c r="A15" s="110" t="s">
        <v>56</v>
      </c>
      <c r="B15" s="111" t="s">
        <v>303</v>
      </c>
      <c r="C15" s="110" t="s">
        <v>222</v>
      </c>
      <c r="D15" s="82" t="s">
        <v>51</v>
      </c>
      <c r="E15" s="110" t="s">
        <v>411</v>
      </c>
      <c r="F15" s="110" t="s">
        <v>294</v>
      </c>
      <c r="G15" s="110" t="s">
        <v>304</v>
      </c>
      <c r="H15" s="84" t="s">
        <v>296</v>
      </c>
      <c r="I15" s="120">
        <v>38733562128</v>
      </c>
      <c r="J15" s="84" t="s">
        <v>297</v>
      </c>
      <c r="K15" s="110" t="s">
        <v>298</v>
      </c>
      <c r="L15" s="111" t="s">
        <v>299</v>
      </c>
      <c r="M15" s="84"/>
      <c r="N15" s="84"/>
      <c r="O15" s="171">
        <f>IFERROR(VLOOKUP(Table5[[#This Row],[Adresa]],Sheet1!$A$1:$C$20,2,0),0)</f>
        <v>43.857349450000001</v>
      </c>
      <c r="P15" s="172">
        <f>IFERROR(VLOOKUP(Table5[[#This Row],[Adresa]],Sheet1!$A$1:$C$20,2,0),0)</f>
        <v>43.857349450000001</v>
      </c>
    </row>
    <row r="16" spans="1:16" ht="115.2">
      <c r="A16" s="110" t="s">
        <v>36</v>
      </c>
      <c r="B16" s="110" t="s">
        <v>232</v>
      </c>
      <c r="C16" s="110" t="s">
        <v>88</v>
      </c>
      <c r="D16" s="82" t="s">
        <v>423</v>
      </c>
      <c r="E16" s="110" t="s">
        <v>472</v>
      </c>
      <c r="F16" s="110" t="s">
        <v>233</v>
      </c>
      <c r="G16" s="110" t="s">
        <v>234</v>
      </c>
      <c r="H16" s="84" t="s">
        <v>235</v>
      </c>
      <c r="I16" s="119">
        <v>38733214249</v>
      </c>
      <c r="J16" s="84"/>
      <c r="K16" s="110"/>
      <c r="L16" s="110"/>
      <c r="M16" s="84" t="s">
        <v>235</v>
      </c>
      <c r="N16" s="84" t="s">
        <v>235</v>
      </c>
      <c r="O16" s="171">
        <f>IFERROR(VLOOKUP(Table5[[#This Row],[Adresa]],Sheet1!$A$1:$C$20,2,0),0)</f>
        <v>43.8671705</v>
      </c>
      <c r="P16" s="172">
        <f>IFERROR(VLOOKUP(Table5[[#This Row],[Adresa]],Sheet1!$A$1:$C$20,2,0),0)</f>
        <v>43.8671705</v>
      </c>
    </row>
    <row r="17" spans="1:17" ht="68.400000000000006">
      <c r="A17" s="110" t="s">
        <v>37</v>
      </c>
      <c r="B17" s="110" t="s">
        <v>230</v>
      </c>
      <c r="C17" s="110" t="s">
        <v>222</v>
      </c>
      <c r="D17" s="110" t="s">
        <v>424</v>
      </c>
      <c r="E17" s="110" t="s">
        <v>411</v>
      </c>
      <c r="F17" s="110" t="s">
        <v>509</v>
      </c>
      <c r="G17" s="110"/>
      <c r="O17" s="171">
        <f>IFERROR(VLOOKUP(Table5[[#This Row],[Adresa]],Sheet1!$A$1:$C$20,2,0),0)</f>
        <v>0</v>
      </c>
      <c r="P17" s="172">
        <f>IFERROR(VLOOKUP(Table5[[#This Row],[Adresa]],Sheet1!$A$1:$C$20,2,0),0)</f>
        <v>0</v>
      </c>
    </row>
    <row r="18" spans="1:17" ht="57">
      <c r="A18" s="110" t="s">
        <v>31</v>
      </c>
      <c r="B18" s="110" t="s">
        <v>163</v>
      </c>
      <c r="C18" s="110" t="s">
        <v>110</v>
      </c>
      <c r="D18" s="82" t="s">
        <v>423</v>
      </c>
      <c r="E18" s="110" t="s">
        <v>476</v>
      </c>
      <c r="F18" s="110" t="s">
        <v>509</v>
      </c>
      <c r="G18" s="110"/>
      <c r="H18" s="84"/>
      <c r="I18" s="110"/>
      <c r="J18" s="84"/>
      <c r="K18" s="110"/>
      <c r="L18" s="110"/>
      <c r="M18" s="84"/>
      <c r="N18" s="84"/>
      <c r="O18" s="171">
        <f>IFERROR(VLOOKUP(Table5[[#This Row],[Adresa]],Sheet1!$A$1:$C$20,2,0),0)</f>
        <v>0</v>
      </c>
      <c r="P18" s="172">
        <f>IFERROR(VLOOKUP(Table5[[#This Row],[Adresa]],Sheet1!$A$1:$C$20,2,0),0)</f>
        <v>0</v>
      </c>
    </row>
    <row r="19" spans="1:17" ht="60">
      <c r="A19" s="144" t="s">
        <v>525</v>
      </c>
      <c r="B19" s="144" t="s">
        <v>492</v>
      </c>
      <c r="C19" s="144" t="s">
        <v>88</v>
      </c>
      <c r="D19" s="144" t="s">
        <v>538</v>
      </c>
      <c r="E19" s="144"/>
      <c r="F19" s="144"/>
      <c r="G19" s="144"/>
      <c r="H19" s="144"/>
      <c r="I19" s="140"/>
      <c r="J19" s="140"/>
      <c r="K19" s="140"/>
      <c r="L19" s="140"/>
      <c r="M19" s="140"/>
      <c r="N19" s="140"/>
      <c r="O19" s="171">
        <f>IFERROR(VLOOKUP(Table5[[#This Row],[Adresa]],Sheet1!$A$1:$C$20,2,0),0)</f>
        <v>0</v>
      </c>
      <c r="P19" s="172">
        <f>IFERROR(VLOOKUP(Table5[[#This Row],[Adresa]],Sheet1!$A$1:$C$20,2,0),0)</f>
        <v>0</v>
      </c>
    </row>
    <row r="20" spans="1:17" ht="409.6">
      <c r="A20" s="144" t="s">
        <v>541</v>
      </c>
      <c r="B20" s="144" t="s">
        <v>549</v>
      </c>
      <c r="C20" s="144" t="s">
        <v>88</v>
      </c>
      <c r="D20" s="144" t="s">
        <v>432</v>
      </c>
      <c r="E20" s="144" t="s">
        <v>542</v>
      </c>
      <c r="F20" s="144" t="s">
        <v>543</v>
      </c>
      <c r="G20" s="144" t="s">
        <v>544</v>
      </c>
      <c r="H20" s="145" t="s">
        <v>545</v>
      </c>
      <c r="I20" s="144" t="s">
        <v>546</v>
      </c>
      <c r="J20" s="140"/>
      <c r="K20" s="143" t="s">
        <v>548</v>
      </c>
      <c r="L20" s="144" t="s">
        <v>547</v>
      </c>
      <c r="M20" s="140"/>
      <c r="N20" s="140"/>
      <c r="O20" s="171">
        <f>IFERROR(VLOOKUP(Table5[[#This Row],[Adresa]],Sheet1!$A$1:$C$20,2,0),0)</f>
        <v>0</v>
      </c>
      <c r="P20" s="172">
        <f>IFERROR(VLOOKUP(Table5[[#This Row],[Adresa]],Sheet1!$A$1:$C$20,2,0),0)</f>
        <v>0</v>
      </c>
    </row>
    <row r="21" spans="1:17" s="134" customFormat="1" ht="110.4">
      <c r="A21" s="143" t="s">
        <v>550</v>
      </c>
      <c r="B21" s="146" t="s">
        <v>552</v>
      </c>
      <c r="C21" s="144" t="s">
        <v>88</v>
      </c>
      <c r="D21" s="144" t="s">
        <v>432</v>
      </c>
      <c r="E21" s="147" t="s">
        <v>551</v>
      </c>
      <c r="F21" s="144" t="s">
        <v>543</v>
      </c>
      <c r="G21" s="144" t="s">
        <v>544</v>
      </c>
      <c r="H21" s="145" t="s">
        <v>545</v>
      </c>
      <c r="I21" s="144" t="s">
        <v>546</v>
      </c>
      <c r="J21" s="143"/>
      <c r="K21" s="143" t="s">
        <v>548</v>
      </c>
      <c r="L21" s="143"/>
      <c r="M21" s="143"/>
      <c r="N21" s="143"/>
      <c r="O21" s="171">
        <f>IFERROR(VLOOKUP(Table5[[#This Row],[Adresa]],Sheet1!$A$1:$C$20,2,0),0)</f>
        <v>0</v>
      </c>
      <c r="P21" s="172">
        <f>IFERROR(VLOOKUP(Table5[[#This Row],[Adresa]],Sheet1!$A$1:$C$20,2,0),0)</f>
        <v>0</v>
      </c>
    </row>
    <row r="22" spans="1:17" s="135" customFormat="1" ht="409.6">
      <c r="A22" s="104" t="s">
        <v>554</v>
      </c>
      <c r="B22" s="136" t="s">
        <v>557</v>
      </c>
      <c r="C22" s="104" t="s">
        <v>556</v>
      </c>
      <c r="D22" s="148" t="s">
        <v>538</v>
      </c>
      <c r="E22" s="104"/>
      <c r="F22" s="141" t="s">
        <v>284</v>
      </c>
      <c r="G22" s="141" t="s">
        <v>285</v>
      </c>
      <c r="H22" s="142" t="s">
        <v>323</v>
      </c>
      <c r="I22" s="141">
        <v>38733562379</v>
      </c>
      <c r="J22" s="141" t="s">
        <v>332</v>
      </c>
      <c r="K22" s="136" t="s">
        <v>555</v>
      </c>
      <c r="L22" s="104" t="s">
        <v>558</v>
      </c>
      <c r="M22" s="104" t="s">
        <v>559</v>
      </c>
      <c r="N22" s="145" t="s">
        <v>560</v>
      </c>
      <c r="O22" s="171">
        <f>IFERROR(VLOOKUP(Table5[[#This Row],[Adresa]],Sheet1!$A$1:$C$20,2,0),0)</f>
        <v>0</v>
      </c>
      <c r="P22" s="172">
        <f>IFERROR(VLOOKUP(Table5[[#This Row],[Adresa]],Sheet1!$A$1:$C$20,2,0),0)</f>
        <v>0</v>
      </c>
      <c r="Q22" s="136"/>
    </row>
    <row r="23" spans="1:17">
      <c r="D23" s="110"/>
      <c r="O23" s="171">
        <f>IFERROR(VLOOKUP(Table5[[#This Row],[Adresa]],Sheet1!$A$1:$C$20,2,0),0)</f>
        <v>0</v>
      </c>
      <c r="P23" s="172">
        <f>IFERROR(VLOOKUP(Table5[[#This Row],[Adresa]],Sheet1!$A$1:$C$20,2,0),0)</f>
        <v>0</v>
      </c>
    </row>
    <row r="24" spans="1:17">
      <c r="D24" s="110"/>
      <c r="O24" s="171">
        <f>IFERROR(VLOOKUP(Table5[[#This Row],[Adresa]],Sheet1!$A$1:$C$20,2,0),0)</f>
        <v>0</v>
      </c>
      <c r="P24" s="172">
        <f>IFERROR(VLOOKUP(Table5[[#This Row],[Adresa]],Sheet1!$A$1:$C$20,2,0),0)</f>
        <v>0</v>
      </c>
    </row>
    <row r="25" spans="1:17">
      <c r="D25" s="110"/>
    </row>
    <row r="26" spans="1:17">
      <c r="D26" s="110"/>
    </row>
    <row r="27" spans="1:17">
      <c r="D27" s="110"/>
    </row>
    <row r="28" spans="1:17">
      <c r="D28" s="110"/>
    </row>
  </sheetData>
  <autoFilter ref="O1:O28" xr:uid="{B8EE97C4-5CE4-4386-BABA-CA4D0DFA0DEA}"/>
  <sortState xmlns:xlrd2="http://schemas.microsoft.com/office/spreadsheetml/2017/richdata2" ref="A2:N18">
    <sortCondition ref="A16:A18"/>
  </sortState>
  <conditionalFormatting sqref="A19:A20">
    <cfRule type="duplicateValues" dxfId="2" priority="2"/>
  </conditionalFormatting>
  <conditionalFormatting sqref="A21 A1:A18 A23:A1048576">
    <cfRule type="duplicateValues" dxfId="1" priority="3"/>
  </conditionalFormatting>
  <conditionalFormatting sqref="A22">
    <cfRule type="duplicateValues" dxfId="0" priority="1"/>
  </conditionalFormatting>
  <hyperlinks>
    <hyperlink ref="H15" r:id="rId1" xr:uid="{AD625D9F-010B-4FD0-91E9-6E5C5A331511}"/>
    <hyperlink ref="J15" r:id="rId2" xr:uid="{6E22FDCC-67C9-4A13-B10C-1656814C64A3}"/>
    <hyperlink ref="H3" r:id="rId3" xr:uid="{D60E31B1-14F3-435F-8EA6-1B7B0AF7A2EC}"/>
    <hyperlink ref="J3" r:id="rId4" xr:uid="{B9E56559-7747-40B5-A7CA-A3B10F7F0BBA}"/>
    <hyperlink ref="H5" r:id="rId5" xr:uid="{2DD94B44-A726-4C15-8759-E02D89351099}"/>
    <hyperlink ref="J5" r:id="rId6" xr:uid="{D89FBAEF-E29E-44A4-8579-B56B544D222D}"/>
    <hyperlink ref="J7" r:id="rId7" xr:uid="{39CBA1DB-CE48-4BA8-B044-A759C5D6FC08}"/>
    <hyperlink ref="H7" r:id="rId8" display="https://www.opcinailidza.ba/uploads/files/shares/Elektronski_formulari/2021/socijalna 2/ZAHTJEV ZA PRIZNAVANJE PRAVA NA  JEDNOKRATNU NOV%C4%8CANU  POMO%C4%86 I SUFINANSIRANJE MEDICINSKI POTPOMOGNUTE OPLODNJE.pdf" xr:uid="{4FE60690-9928-43C0-9741-0AA50E03564C}"/>
    <hyperlink ref="N7" r:id="rId9" display="https://www.opcinailidza.ba/uploads/files/shares/Elektronski_formulari/2021/socijalna 2/ZAHTJEV ZA PRIZNAVANJE PRAVA NA  JEDNOKRATNU NOV%C4%8CANU  POMO%C4%86 I SUFINANSIRANJE MEDICINSKI POTPOMOGNUTE OPLODNJE.pdf" xr:uid="{63387B0A-A686-42A0-963B-C1CCB35D83D6}"/>
    <hyperlink ref="L7" r:id="rId10" display="https://www.opcinailidza.ba/uploads/files/shares/Elektronski_formulari/2021/socijalna 2/ZAHTJEV ZA PRIZNAVANJE PRAVA NA  JEDNOKRATNU NOV%C4%8CANU  POMO%C4%86 I SUFINANSIRANJE MEDICINSKI POTPOMOGNUTE OPLODNJE.pdf" xr:uid="{4AF03D64-0441-4F93-8D72-5D4F49372E57}"/>
    <hyperlink ref="M7" r:id="rId11" display="https://www.opcinailidza.ba/uploads/files/shares/Elektronski_formulari/2021/socijalna 2/ZAHTJEV ZA PRIZNAVANJE PRAVA NA  JEDNOKRATNU NOV%C4%8CANU  POMO%C4%86 I SUFINANSIRANJE MEDICINSKI POTPOMOGNUTE OPLODNJE.pdf" xr:uid="{62AAB241-4F07-47CF-98DF-40CA83E57295}"/>
    <hyperlink ref="N5" r:id="rId12" display="https://www.opcinailidza.ba/uploads/files/shares/Elektronski_formulari/2021/socijalna 2/ZAHTJEV ZA PRIZNAVANJE PRAVA NA  JEDNOKRATNU NOV%C4%8CANU  POMO%C4%86 I SUFINANSIRANJE MEDICINSKI POTPOMOGNUTE OPLODNJE.pdf" xr:uid="{F9F7A1A9-E66C-431D-9D7B-EB54F87FBB4E}"/>
    <hyperlink ref="J6" r:id="rId13" xr:uid="{641E428B-43AC-4BC0-9AEE-995D6FC9D6BC}"/>
    <hyperlink ref="H16" r:id="rId14" xr:uid="{1EB565A9-8D74-4030-B7DA-A07A7FCD6429}"/>
    <hyperlink ref="M16" r:id="rId15" xr:uid="{62C6BD8B-B410-4E08-9185-6AC819534748}"/>
    <hyperlink ref="N16" r:id="rId16" xr:uid="{86C9056B-3833-44E9-96E0-1B5DB38FF620}"/>
    <hyperlink ref="H10" r:id="rId17" xr:uid="{6C52A2D8-AB16-4024-955D-179C622DA8AD}"/>
    <hyperlink ref="K13" r:id="rId18" xr:uid="{E7942737-35E6-4C9A-BDC3-1177B3EE7CC5}"/>
    <hyperlink ref="H12" r:id="rId19" xr:uid="{26180AA7-0679-4A36-8DAD-5A13B12C2BFD}"/>
    <hyperlink ref="J12" r:id="rId20" xr:uid="{86FAD974-5382-4E42-9568-B3BB6CAB4FA0}"/>
    <hyperlink ref="J13" r:id="rId21" xr:uid="{198B5CCB-EB18-438E-B83D-7955C26756DB}"/>
    <hyperlink ref="H13" r:id="rId22" xr:uid="{57E4FFCA-907E-4D85-9BA7-5EB321B464C2}"/>
    <hyperlink ref="H20" r:id="rId23" xr:uid="{0598FEE6-3206-4F60-A327-1F48B88A5895}"/>
    <hyperlink ref="H21" r:id="rId24" xr:uid="{94907F12-9E9E-4186-B976-EBF782BF8F92}"/>
    <hyperlink ref="H22" r:id="rId25" xr:uid="{7DDC2FDB-F40E-4B7B-893A-067DAFD815FE}"/>
    <hyperlink ref="N22" r:id="rId26" xr:uid="{8F54FEBE-E576-4B34-A7FC-F803CDE9DDCA}"/>
  </hyperlinks>
  <pageMargins left="0.7" right="0.7" top="0.75" bottom="0.75" header="0.3" footer="0.3"/>
  <tableParts count="1">
    <tablePart r:id="rId27"/>
  </tableParts>
  <extLst>
    <ext xmlns:x14="http://schemas.microsoft.com/office/spreadsheetml/2009/9/main" uri="{CCE6A557-97BC-4b89-ADB6-D9C93CAAB3DF}">
      <x14:dataValidations xmlns:xm="http://schemas.microsoft.com/office/excel/2006/main" count="1">
        <x14:dataValidation type="list" allowBlank="1" showInputMessage="1" showErrorMessage="1" xr:uid="{E90815DC-12D9-45C0-A654-63F2516EA365}">
          <x14:formula1>
            <xm:f>Sheet2!$C$2:$C$22</xm:f>
          </x14:formula1>
          <xm:sqref>C5:C6 C2:C3 C12:C14 C8:C10</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C7D0-5F0E-45C9-9C31-E98820A856AD}">
  <sheetPr codeName="Sheet18"/>
  <dimension ref="A1:Q64"/>
  <sheetViews>
    <sheetView zoomScale="70" zoomScaleNormal="70" workbookViewId="0">
      <pane ySplit="1" topLeftCell="A6" activePane="bottomLeft" state="frozen"/>
      <selection pane="bottomLeft" sqref="A1:XFD1048576"/>
    </sheetView>
  </sheetViews>
  <sheetFormatPr defaultColWidth="8.6640625" defaultRowHeight="10.199999999999999"/>
  <cols>
    <col min="1" max="1" width="8.88671875" style="63" bestFit="1" customWidth="1"/>
    <col min="2" max="2" width="33.6640625" style="60" bestFit="1" customWidth="1"/>
    <col min="3" max="3" width="48.6640625" style="60" customWidth="1"/>
    <col min="4" max="4" width="14.6640625" style="60" customWidth="1"/>
    <col min="5" max="5" width="18.88671875" style="60" customWidth="1"/>
    <col min="6" max="6" width="20.109375" style="60" customWidth="1"/>
    <col min="7" max="7" width="14.6640625" style="60" customWidth="1"/>
    <col min="8" max="8" width="23.5546875" style="60" customWidth="1"/>
    <col min="9" max="9" width="15.109375" style="60" customWidth="1"/>
    <col min="10" max="10" width="8.6640625" style="60"/>
    <col min="11" max="11" width="60.44140625" style="60" customWidth="1"/>
    <col min="12" max="15" width="8.6640625" style="60"/>
    <col min="16" max="16" width="24.33203125" style="60" bestFit="1" customWidth="1"/>
    <col min="17" max="16384" width="8.6640625" style="60"/>
  </cols>
  <sheetData>
    <row r="1" spans="1:17" s="36" customFormat="1" ht="33.6" customHeight="1">
      <c r="A1" s="32" t="s">
        <v>73</v>
      </c>
      <c r="B1" s="32" t="s">
        <v>1</v>
      </c>
      <c r="C1" s="31" t="s">
        <v>74</v>
      </c>
      <c r="D1" s="31" t="s">
        <v>0</v>
      </c>
      <c r="E1" s="33" t="s">
        <v>75</v>
      </c>
      <c r="F1" s="31" t="s">
        <v>76</v>
      </c>
      <c r="G1" s="31" t="s">
        <v>77</v>
      </c>
      <c r="H1" s="31" t="s">
        <v>78</v>
      </c>
      <c r="I1" s="31" t="s">
        <v>79</v>
      </c>
      <c r="J1" s="31" t="s">
        <v>80</v>
      </c>
      <c r="K1" s="31" t="s">
        <v>81</v>
      </c>
      <c r="L1" s="31" t="s">
        <v>82</v>
      </c>
      <c r="M1" s="31" t="s">
        <v>83</v>
      </c>
      <c r="N1" s="31" t="s">
        <v>84</v>
      </c>
      <c r="O1" s="31" t="s">
        <v>85</v>
      </c>
      <c r="P1" s="34" t="s">
        <v>86</v>
      </c>
      <c r="Q1" s="35"/>
    </row>
    <row r="2" spans="1:17" s="40" customFormat="1" ht="77.099999999999994" customHeight="1">
      <c r="A2" s="17">
        <v>1</v>
      </c>
      <c r="B2" s="18" t="s">
        <v>68</v>
      </c>
      <c r="C2" s="18" t="s">
        <v>311</v>
      </c>
      <c r="D2" s="18" t="s">
        <v>60</v>
      </c>
      <c r="E2" s="18" t="s">
        <v>110</v>
      </c>
      <c r="F2" s="18" t="s">
        <v>312</v>
      </c>
      <c r="G2" s="18" t="s">
        <v>313</v>
      </c>
      <c r="H2" s="37" t="s">
        <v>314</v>
      </c>
      <c r="I2" s="18">
        <v>38733777260</v>
      </c>
      <c r="J2" s="37" t="s">
        <v>315</v>
      </c>
      <c r="K2" s="18" t="s">
        <v>316</v>
      </c>
      <c r="L2" s="18" t="s">
        <v>433</v>
      </c>
      <c r="M2" s="18" t="s">
        <v>318</v>
      </c>
      <c r="N2" s="18"/>
      <c r="O2" s="18"/>
      <c r="P2" s="38" t="s">
        <v>434</v>
      </c>
      <c r="Q2" s="39"/>
    </row>
    <row r="3" spans="1:17" s="40" customFormat="1" ht="77.400000000000006" customHeight="1">
      <c r="A3" s="17">
        <v>2</v>
      </c>
      <c r="B3" s="21" t="s">
        <v>4</v>
      </c>
      <c r="C3" s="21" t="s">
        <v>99</v>
      </c>
      <c r="D3" s="18" t="s">
        <v>393</v>
      </c>
      <c r="E3" s="21" t="s">
        <v>100</v>
      </c>
      <c r="F3" s="21" t="s">
        <v>435</v>
      </c>
      <c r="G3" s="21" t="s">
        <v>102</v>
      </c>
      <c r="H3" s="41" t="s">
        <v>103</v>
      </c>
      <c r="I3" s="18" t="s">
        <v>104</v>
      </c>
      <c r="J3" s="65" t="s">
        <v>105</v>
      </c>
      <c r="K3" s="21" t="s">
        <v>106</v>
      </c>
      <c r="L3" s="21" t="s">
        <v>436</v>
      </c>
      <c r="M3" s="21" t="s">
        <v>108</v>
      </c>
      <c r="N3" s="21"/>
      <c r="O3" s="21"/>
      <c r="P3" s="38" t="s">
        <v>434</v>
      </c>
      <c r="Q3" s="39"/>
    </row>
    <row r="4" spans="1:17" s="40" customFormat="1" ht="45" customHeight="1">
      <c r="A4" s="19">
        <v>3</v>
      </c>
      <c r="B4" s="19" t="s">
        <v>41</v>
      </c>
      <c r="C4" s="19" t="s">
        <v>255</v>
      </c>
      <c r="D4" s="19" t="s">
        <v>370</v>
      </c>
      <c r="E4" s="17" t="s">
        <v>110</v>
      </c>
      <c r="F4" s="19" t="s">
        <v>256</v>
      </c>
      <c r="G4" s="19" t="s">
        <v>257</v>
      </c>
      <c r="H4" s="42" t="s">
        <v>258</v>
      </c>
      <c r="I4" s="19">
        <v>38733226445</v>
      </c>
      <c r="J4" s="19"/>
      <c r="K4" s="19" t="s">
        <v>259</v>
      </c>
      <c r="L4" s="19" t="s">
        <v>260</v>
      </c>
      <c r="M4" s="19" t="s">
        <v>437</v>
      </c>
      <c r="N4" s="42" t="s">
        <v>262</v>
      </c>
      <c r="O4" s="42" t="s">
        <v>258</v>
      </c>
      <c r="P4" s="38" t="s">
        <v>434</v>
      </c>
      <c r="Q4" s="39"/>
    </row>
    <row r="5" spans="1:17" s="40" customFormat="1" ht="51" customHeight="1">
      <c r="A5" s="17">
        <v>4</v>
      </c>
      <c r="B5" s="22" t="s">
        <v>5</v>
      </c>
      <c r="C5" s="22" t="s">
        <v>124</v>
      </c>
      <c r="D5" s="17" t="s">
        <v>373</v>
      </c>
      <c r="E5" s="22" t="s">
        <v>110</v>
      </c>
      <c r="F5" s="22" t="s">
        <v>125</v>
      </c>
      <c r="G5" s="22" t="s">
        <v>126</v>
      </c>
      <c r="H5" s="37" t="s">
        <v>127</v>
      </c>
      <c r="I5" s="19">
        <v>38733492125</v>
      </c>
      <c r="J5" s="23" t="s">
        <v>128</v>
      </c>
      <c r="K5" s="22" t="s">
        <v>129</v>
      </c>
      <c r="L5" s="22" t="s">
        <v>130</v>
      </c>
      <c r="M5" s="22" t="s">
        <v>438</v>
      </c>
      <c r="N5" s="23" t="s">
        <v>132</v>
      </c>
      <c r="O5" s="22" t="s">
        <v>133</v>
      </c>
      <c r="P5" s="38" t="s">
        <v>434</v>
      </c>
      <c r="Q5" s="39"/>
    </row>
    <row r="6" spans="1:17" s="40" customFormat="1" ht="80.099999999999994" customHeight="1">
      <c r="A6" s="17">
        <v>5</v>
      </c>
      <c r="B6" s="17" t="s">
        <v>69</v>
      </c>
      <c r="C6" s="17" t="s">
        <v>319</v>
      </c>
      <c r="D6" s="17" t="s">
        <v>60</v>
      </c>
      <c r="E6" s="17" t="s">
        <v>110</v>
      </c>
      <c r="F6" s="17" t="s">
        <v>312</v>
      </c>
      <c r="G6" s="17" t="s">
        <v>265</v>
      </c>
      <c r="H6" s="17"/>
      <c r="I6" s="17"/>
      <c r="J6" s="17"/>
      <c r="K6" s="17" t="s">
        <v>320</v>
      </c>
      <c r="L6" s="17"/>
      <c r="M6" s="17"/>
      <c r="N6" s="17"/>
      <c r="O6" s="17" t="s">
        <v>321</v>
      </c>
      <c r="P6" s="38" t="s">
        <v>434</v>
      </c>
      <c r="Q6" s="39"/>
    </row>
    <row r="7" spans="1:17" s="40" customFormat="1" ht="33.6" customHeight="1">
      <c r="A7" s="17">
        <v>6</v>
      </c>
      <c r="B7" s="18" t="s">
        <v>62</v>
      </c>
      <c r="C7" s="18" t="s">
        <v>322</v>
      </c>
      <c r="D7" s="18" t="s">
        <v>439</v>
      </c>
      <c r="E7" s="18" t="s">
        <v>110</v>
      </c>
      <c r="F7" s="18" t="s">
        <v>284</v>
      </c>
      <c r="G7" s="18" t="s">
        <v>285</v>
      </c>
      <c r="H7" s="43" t="s">
        <v>323</v>
      </c>
      <c r="I7" s="18">
        <v>38733562379</v>
      </c>
      <c r="J7" s="18" t="s">
        <v>332</v>
      </c>
      <c r="K7" s="18"/>
      <c r="L7" s="18" t="s">
        <v>325</v>
      </c>
      <c r="M7" s="18" t="s">
        <v>326</v>
      </c>
      <c r="N7" s="37" t="s">
        <v>327</v>
      </c>
      <c r="O7" s="18" t="s">
        <v>328</v>
      </c>
      <c r="P7" s="38" t="s">
        <v>434</v>
      </c>
      <c r="Q7" s="39"/>
    </row>
    <row r="8" spans="1:17" s="40" customFormat="1" ht="33.6" customHeight="1">
      <c r="A8" s="17">
        <v>7</v>
      </c>
      <c r="B8" s="19" t="s">
        <v>8</v>
      </c>
      <c r="C8" s="24" t="s">
        <v>134</v>
      </c>
      <c r="D8" s="17" t="s">
        <v>373</v>
      </c>
      <c r="E8" s="24" t="s">
        <v>88</v>
      </c>
      <c r="F8" s="24" t="s">
        <v>135</v>
      </c>
      <c r="G8" s="24" t="s">
        <v>90</v>
      </c>
      <c r="H8" s="44" t="s">
        <v>91</v>
      </c>
      <c r="I8" s="62">
        <v>38733725207</v>
      </c>
      <c r="J8" s="44" t="s">
        <v>92</v>
      </c>
      <c r="K8" s="24" t="s">
        <v>136</v>
      </c>
      <c r="L8" s="24" t="s">
        <v>137</v>
      </c>
      <c r="M8" s="24" t="s">
        <v>95</v>
      </c>
      <c r="N8" s="24" t="s">
        <v>95</v>
      </c>
      <c r="O8" s="24" t="s">
        <v>95</v>
      </c>
      <c r="P8" s="38" t="s">
        <v>434</v>
      </c>
      <c r="Q8" s="39"/>
    </row>
    <row r="9" spans="1:17" s="40" customFormat="1" ht="33.6" customHeight="1">
      <c r="A9" s="17">
        <v>8</v>
      </c>
      <c r="B9" s="19" t="s">
        <v>9</v>
      </c>
      <c r="C9" s="24" t="s">
        <v>138</v>
      </c>
      <c r="D9" s="17" t="s">
        <v>373</v>
      </c>
      <c r="E9" s="24" t="s">
        <v>88</v>
      </c>
      <c r="F9" s="24" t="s">
        <v>89</v>
      </c>
      <c r="G9" s="24" t="s">
        <v>90</v>
      </c>
      <c r="H9" s="44" t="s">
        <v>91</v>
      </c>
      <c r="I9" s="62">
        <v>38733725207</v>
      </c>
      <c r="J9" s="44" t="s">
        <v>92</v>
      </c>
      <c r="K9" s="24" t="s">
        <v>139</v>
      </c>
      <c r="L9" s="24" t="s">
        <v>140</v>
      </c>
      <c r="M9" s="24" t="s">
        <v>95</v>
      </c>
      <c r="N9" s="24" t="s">
        <v>95</v>
      </c>
      <c r="O9" s="24" t="s">
        <v>95</v>
      </c>
      <c r="P9" s="38" t="s">
        <v>434</v>
      </c>
      <c r="Q9" s="39"/>
    </row>
    <row r="10" spans="1:17" s="40" customFormat="1" ht="33.6" customHeight="1">
      <c r="A10" s="17">
        <v>9</v>
      </c>
      <c r="B10" s="19" t="s">
        <v>10</v>
      </c>
      <c r="C10" s="24" t="s">
        <v>141</v>
      </c>
      <c r="D10" s="17" t="s">
        <v>373</v>
      </c>
      <c r="E10" s="24" t="s">
        <v>88</v>
      </c>
      <c r="F10" s="24" t="s">
        <v>89</v>
      </c>
      <c r="G10" s="24" t="s">
        <v>90</v>
      </c>
      <c r="H10" s="44" t="s">
        <v>91</v>
      </c>
      <c r="I10" s="62">
        <v>38733725207</v>
      </c>
      <c r="J10" s="44" t="s">
        <v>92</v>
      </c>
      <c r="K10" s="25" t="s">
        <v>142</v>
      </c>
      <c r="L10" s="24" t="s">
        <v>143</v>
      </c>
      <c r="M10" s="24" t="s">
        <v>95</v>
      </c>
      <c r="N10" s="24" t="s">
        <v>95</v>
      </c>
      <c r="O10" s="24" t="s">
        <v>95</v>
      </c>
      <c r="P10" s="38" t="s">
        <v>434</v>
      </c>
      <c r="Q10" s="39"/>
    </row>
    <row r="11" spans="1:17" s="40" customFormat="1" ht="33.6" customHeight="1">
      <c r="A11" s="19">
        <v>10</v>
      </c>
      <c r="B11" s="18" t="s">
        <v>42</v>
      </c>
      <c r="C11" s="18" t="s">
        <v>263</v>
      </c>
      <c r="D11" s="18" t="s">
        <v>370</v>
      </c>
      <c r="E11" s="18" t="s">
        <v>88</v>
      </c>
      <c r="F11" s="18" t="s">
        <v>264</v>
      </c>
      <c r="G11" s="18" t="s">
        <v>265</v>
      </c>
      <c r="H11" s="37" t="s">
        <v>266</v>
      </c>
      <c r="I11" s="18">
        <v>38733562027</v>
      </c>
      <c r="J11" s="37" t="s">
        <v>267</v>
      </c>
      <c r="K11" s="18" t="s">
        <v>268</v>
      </c>
      <c r="L11" s="18"/>
      <c r="M11" s="37" t="s">
        <v>269</v>
      </c>
      <c r="N11" s="37" t="s">
        <v>269</v>
      </c>
      <c r="O11" s="18"/>
      <c r="P11" s="38" t="s">
        <v>434</v>
      </c>
      <c r="Q11" s="39"/>
    </row>
    <row r="12" spans="1:17" s="46" customFormat="1" ht="33.6" customHeight="1">
      <c r="A12" s="17">
        <v>11</v>
      </c>
      <c r="B12" s="19" t="s">
        <v>34</v>
      </c>
      <c r="C12" s="24" t="s">
        <v>208</v>
      </c>
      <c r="D12" s="19" t="s">
        <v>388</v>
      </c>
      <c r="E12" s="24" t="s">
        <v>88</v>
      </c>
      <c r="F12" s="24" t="s">
        <v>89</v>
      </c>
      <c r="G12" s="24" t="s">
        <v>90</v>
      </c>
      <c r="H12" s="44" t="s">
        <v>91</v>
      </c>
      <c r="I12" s="62">
        <v>38733725207</v>
      </c>
      <c r="J12" s="44" t="s">
        <v>92</v>
      </c>
      <c r="K12" s="24" t="s">
        <v>209</v>
      </c>
      <c r="L12" s="24" t="s">
        <v>210</v>
      </c>
      <c r="M12" s="24" t="s">
        <v>95</v>
      </c>
      <c r="N12" s="24" t="s">
        <v>95</v>
      </c>
      <c r="O12" s="24" t="s">
        <v>95</v>
      </c>
      <c r="P12" s="38" t="s">
        <v>434</v>
      </c>
      <c r="Q12" s="45"/>
    </row>
    <row r="13" spans="1:17" s="46" customFormat="1" ht="33.6" customHeight="1">
      <c r="A13" s="17">
        <v>12</v>
      </c>
      <c r="B13" s="19" t="s">
        <v>35</v>
      </c>
      <c r="C13" s="19" t="s">
        <v>211</v>
      </c>
      <c r="D13" s="19" t="s">
        <v>388</v>
      </c>
      <c r="E13" s="17" t="s">
        <v>88</v>
      </c>
      <c r="F13" s="19" t="s">
        <v>212</v>
      </c>
      <c r="G13" s="19" t="s">
        <v>213</v>
      </c>
      <c r="H13" s="42" t="s">
        <v>214</v>
      </c>
      <c r="I13" s="19">
        <v>38733291190</v>
      </c>
      <c r="J13" s="19" t="s">
        <v>215</v>
      </c>
      <c r="K13" s="19" t="s">
        <v>216</v>
      </c>
      <c r="L13" s="19" t="s">
        <v>217</v>
      </c>
      <c r="M13" s="19" t="s">
        <v>218</v>
      </c>
      <c r="N13" s="19" t="s">
        <v>219</v>
      </c>
      <c r="O13" s="19" t="s">
        <v>220</v>
      </c>
      <c r="P13" s="38" t="s">
        <v>434</v>
      </c>
      <c r="Q13" s="45"/>
    </row>
    <row r="14" spans="1:17" s="40" customFormat="1" ht="33.6" customHeight="1">
      <c r="A14" s="17">
        <v>13</v>
      </c>
      <c r="B14" s="17" t="s">
        <v>11</v>
      </c>
      <c r="C14" s="17" t="s">
        <v>109</v>
      </c>
      <c r="D14" s="17" t="s">
        <v>393</v>
      </c>
      <c r="E14" s="17" t="s">
        <v>110</v>
      </c>
      <c r="F14" s="17" t="s">
        <v>111</v>
      </c>
      <c r="G14" s="17" t="s">
        <v>112</v>
      </c>
      <c r="H14" s="47" t="s">
        <v>113</v>
      </c>
      <c r="I14" s="17">
        <v>38733723640</v>
      </c>
      <c r="J14" s="47" t="s">
        <v>114</v>
      </c>
      <c r="K14" s="17" t="s">
        <v>115</v>
      </c>
      <c r="L14" s="17"/>
      <c r="M14" s="47" t="s">
        <v>116</v>
      </c>
      <c r="N14" s="47" t="s">
        <v>116</v>
      </c>
      <c r="O14" s="17"/>
      <c r="P14" s="38" t="s">
        <v>434</v>
      </c>
      <c r="Q14" s="39"/>
    </row>
    <row r="15" spans="1:17" s="40" customFormat="1" ht="33.6" customHeight="1">
      <c r="A15" s="17">
        <v>14</v>
      </c>
      <c r="B15" s="18" t="s">
        <v>53</v>
      </c>
      <c r="C15" s="18" t="s">
        <v>281</v>
      </c>
      <c r="D15" s="18" t="s">
        <v>51</v>
      </c>
      <c r="E15" s="18" t="s">
        <v>110</v>
      </c>
      <c r="F15" s="18" t="s">
        <v>111</v>
      </c>
      <c r="G15" s="18" t="s">
        <v>112</v>
      </c>
      <c r="H15" s="37" t="s">
        <v>113</v>
      </c>
      <c r="I15" s="18">
        <v>38733723635</v>
      </c>
      <c r="J15" s="37" t="s">
        <v>145</v>
      </c>
      <c r="K15" s="18" t="s">
        <v>146</v>
      </c>
      <c r="L15" s="18"/>
      <c r="M15" s="37" t="s">
        <v>282</v>
      </c>
      <c r="N15" s="37" t="s">
        <v>282</v>
      </c>
      <c r="O15" s="18"/>
      <c r="P15" s="38" t="s">
        <v>434</v>
      </c>
      <c r="Q15" s="39"/>
    </row>
    <row r="16" spans="1:17" s="46" customFormat="1" ht="33.6" customHeight="1">
      <c r="A16" s="17">
        <v>15</v>
      </c>
      <c r="B16" s="18" t="s">
        <v>17</v>
      </c>
      <c r="C16" s="18" t="s">
        <v>144</v>
      </c>
      <c r="D16" s="18" t="s">
        <v>373</v>
      </c>
      <c r="E16" s="18" t="s">
        <v>110</v>
      </c>
      <c r="F16" s="18" t="s">
        <v>111</v>
      </c>
      <c r="G16" s="18" t="s">
        <v>112</v>
      </c>
      <c r="H16" s="37" t="s">
        <v>113</v>
      </c>
      <c r="I16" s="18">
        <v>38733723635</v>
      </c>
      <c r="J16" s="37" t="s">
        <v>145</v>
      </c>
      <c r="K16" s="18" t="s">
        <v>146</v>
      </c>
      <c r="L16" s="18" t="s">
        <v>147</v>
      </c>
      <c r="M16" s="37" t="s">
        <v>148</v>
      </c>
      <c r="N16" s="37" t="s">
        <v>148</v>
      </c>
      <c r="O16" s="18"/>
      <c r="P16" s="38" t="s">
        <v>434</v>
      </c>
      <c r="Q16" s="45"/>
    </row>
    <row r="17" spans="1:17" s="40" customFormat="1" ht="33.6" customHeight="1">
      <c r="A17" s="66">
        <v>16</v>
      </c>
      <c r="B17" s="67" t="s">
        <v>63</v>
      </c>
      <c r="C17" s="67" t="s">
        <v>329</v>
      </c>
      <c r="D17" s="67" t="s">
        <v>60</v>
      </c>
      <c r="E17" s="67" t="s">
        <v>110</v>
      </c>
      <c r="F17" s="18" t="s">
        <v>111</v>
      </c>
      <c r="G17" s="18" t="s">
        <v>112</v>
      </c>
      <c r="H17" s="37" t="s">
        <v>113</v>
      </c>
      <c r="I17" s="18">
        <v>38733723635</v>
      </c>
      <c r="J17" s="37" t="s">
        <v>145</v>
      </c>
      <c r="K17" s="67" t="s">
        <v>146</v>
      </c>
      <c r="L17" s="18" t="s">
        <v>330</v>
      </c>
      <c r="M17" s="37" t="s">
        <v>331</v>
      </c>
      <c r="N17" s="37" t="s">
        <v>331</v>
      </c>
      <c r="O17" s="18"/>
      <c r="P17" s="38" t="s">
        <v>434</v>
      </c>
      <c r="Q17" s="39"/>
    </row>
    <row r="18" spans="1:17" s="50" customFormat="1" ht="33.6" customHeight="1">
      <c r="A18" s="66">
        <v>16</v>
      </c>
      <c r="B18" s="67" t="s">
        <v>63</v>
      </c>
      <c r="C18" s="67" t="s">
        <v>329</v>
      </c>
      <c r="D18" s="67" t="s">
        <v>60</v>
      </c>
      <c r="E18" s="67" t="s">
        <v>110</v>
      </c>
      <c r="F18" s="18" t="s">
        <v>284</v>
      </c>
      <c r="G18" s="18" t="s">
        <v>285</v>
      </c>
      <c r="H18" s="18" t="s">
        <v>323</v>
      </c>
      <c r="I18" s="18">
        <v>38733562379</v>
      </c>
      <c r="J18" s="18" t="s">
        <v>332</v>
      </c>
      <c r="K18" s="67" t="s">
        <v>146</v>
      </c>
      <c r="L18" s="26" t="s">
        <v>333</v>
      </c>
      <c r="M18" s="26" t="s">
        <v>334</v>
      </c>
      <c r="N18" s="48" t="s">
        <v>335</v>
      </c>
      <c r="O18" s="26" t="s">
        <v>328</v>
      </c>
      <c r="P18" s="38" t="s">
        <v>434</v>
      </c>
      <c r="Q18" s="49"/>
    </row>
    <row r="19" spans="1:17" s="40" customFormat="1" ht="33.6" customHeight="1">
      <c r="A19" s="17">
        <v>17</v>
      </c>
      <c r="B19" s="17" t="s">
        <v>46</v>
      </c>
      <c r="C19" s="17" t="s">
        <v>236</v>
      </c>
      <c r="D19" s="17" t="s">
        <v>40</v>
      </c>
      <c r="E19" s="17" t="s">
        <v>110</v>
      </c>
      <c r="F19" s="17" t="s">
        <v>111</v>
      </c>
      <c r="G19" s="17" t="s">
        <v>112</v>
      </c>
      <c r="H19" s="47" t="s">
        <v>113</v>
      </c>
      <c r="I19" s="18">
        <v>38733723635</v>
      </c>
      <c r="J19" s="47" t="s">
        <v>145</v>
      </c>
      <c r="K19" s="17" t="s">
        <v>237</v>
      </c>
      <c r="L19" s="17" t="s">
        <v>238</v>
      </c>
      <c r="M19" s="51" t="s">
        <v>239</v>
      </c>
      <c r="N19" s="47" t="s">
        <v>240</v>
      </c>
      <c r="O19" s="17"/>
      <c r="P19" s="38" t="s">
        <v>434</v>
      </c>
      <c r="Q19" s="39"/>
    </row>
    <row r="20" spans="1:17" s="40" customFormat="1" ht="33.6" customHeight="1">
      <c r="A20" s="19">
        <v>18</v>
      </c>
      <c r="B20" s="19" t="s">
        <v>47</v>
      </c>
      <c r="C20" s="19" t="s">
        <v>241</v>
      </c>
      <c r="D20" s="19" t="s">
        <v>40</v>
      </c>
      <c r="E20" s="19"/>
      <c r="F20" s="19" t="s">
        <v>242</v>
      </c>
      <c r="G20" s="19" t="s">
        <v>243</v>
      </c>
      <c r="H20" s="42" t="s">
        <v>244</v>
      </c>
      <c r="I20" s="19">
        <v>38733717740</v>
      </c>
      <c r="J20" s="42" t="s">
        <v>245</v>
      </c>
      <c r="K20" s="19" t="s">
        <v>246</v>
      </c>
      <c r="L20" s="19" t="s">
        <v>247</v>
      </c>
      <c r="M20" s="19" t="s">
        <v>248</v>
      </c>
      <c r="N20" s="42" t="s">
        <v>249</v>
      </c>
      <c r="O20" s="19" t="s">
        <v>250</v>
      </c>
      <c r="P20" s="38" t="s">
        <v>434</v>
      </c>
      <c r="Q20" s="39"/>
    </row>
    <row r="21" spans="1:17" s="40" customFormat="1" ht="33.6" customHeight="1">
      <c r="A21" s="17">
        <v>19</v>
      </c>
      <c r="B21" s="18" t="s">
        <v>20</v>
      </c>
      <c r="C21" s="18" t="s">
        <v>149</v>
      </c>
      <c r="D21" s="18" t="s">
        <v>373</v>
      </c>
      <c r="E21" s="18" t="s">
        <v>110</v>
      </c>
      <c r="F21" s="18" t="s">
        <v>111</v>
      </c>
      <c r="G21" s="18" t="s">
        <v>112</v>
      </c>
      <c r="H21" s="37" t="s">
        <v>113</v>
      </c>
      <c r="I21" s="18">
        <v>38733723635</v>
      </c>
      <c r="J21" s="37" t="s">
        <v>145</v>
      </c>
      <c r="K21" s="18" t="s">
        <v>146</v>
      </c>
      <c r="L21" s="18" t="s">
        <v>150</v>
      </c>
      <c r="M21" s="37" t="s">
        <v>151</v>
      </c>
      <c r="N21" s="37" t="s">
        <v>151</v>
      </c>
      <c r="O21" s="18"/>
      <c r="P21" s="38" t="s">
        <v>434</v>
      </c>
      <c r="Q21" s="39"/>
    </row>
    <row r="22" spans="1:17" s="40" customFormat="1" ht="33.6" customHeight="1">
      <c r="A22" s="17">
        <v>20</v>
      </c>
      <c r="B22" s="17" t="s">
        <v>21</v>
      </c>
      <c r="C22" s="17" t="s">
        <v>152</v>
      </c>
      <c r="D22" s="17" t="s">
        <v>373</v>
      </c>
      <c r="E22" s="17" t="s">
        <v>110</v>
      </c>
      <c r="F22" s="17" t="s">
        <v>111</v>
      </c>
      <c r="G22" s="17" t="s">
        <v>112</v>
      </c>
      <c r="H22" s="47" t="s">
        <v>113</v>
      </c>
      <c r="I22" s="18">
        <v>38733723635</v>
      </c>
      <c r="J22" s="47" t="s">
        <v>145</v>
      </c>
      <c r="K22" s="17" t="s">
        <v>146</v>
      </c>
      <c r="L22" s="17" t="s">
        <v>153</v>
      </c>
      <c r="M22" s="47" t="s">
        <v>154</v>
      </c>
      <c r="N22" s="47" t="s">
        <v>154</v>
      </c>
      <c r="O22" s="17"/>
      <c r="P22" s="38" t="s">
        <v>434</v>
      </c>
      <c r="Q22" s="39"/>
    </row>
    <row r="23" spans="1:17" s="46" customFormat="1" ht="33.6" customHeight="1">
      <c r="A23" s="17">
        <v>21</v>
      </c>
      <c r="B23" s="18" t="s">
        <v>25</v>
      </c>
      <c r="C23" s="18" t="s">
        <v>25</v>
      </c>
      <c r="D23" s="18" t="s">
        <v>373</v>
      </c>
      <c r="E23" s="18" t="s">
        <v>110</v>
      </c>
      <c r="F23" s="18" t="s">
        <v>111</v>
      </c>
      <c r="G23" s="18" t="s">
        <v>112</v>
      </c>
      <c r="H23" s="37" t="s">
        <v>113</v>
      </c>
      <c r="I23" s="18">
        <v>38733723635</v>
      </c>
      <c r="J23" s="37" t="s">
        <v>145</v>
      </c>
      <c r="K23" s="18" t="s">
        <v>155</v>
      </c>
      <c r="L23" s="18" t="s">
        <v>156</v>
      </c>
      <c r="M23" s="37" t="s">
        <v>157</v>
      </c>
      <c r="N23" s="37" t="s">
        <v>158</v>
      </c>
      <c r="O23" s="18"/>
      <c r="P23" s="38" t="s">
        <v>434</v>
      </c>
      <c r="Q23" s="45"/>
    </row>
    <row r="24" spans="1:17" s="53" customFormat="1" ht="33.6" customHeight="1">
      <c r="A24" s="17">
        <v>22</v>
      </c>
      <c r="B24" s="19" t="s">
        <v>26</v>
      </c>
      <c r="C24" s="24" t="s">
        <v>87</v>
      </c>
      <c r="D24" s="24" t="s">
        <v>95</v>
      </c>
      <c r="E24" s="24" t="s">
        <v>374</v>
      </c>
      <c r="F24" s="24" t="s">
        <v>89</v>
      </c>
      <c r="G24" s="24" t="s">
        <v>90</v>
      </c>
      <c r="H24" s="44" t="s">
        <v>91</v>
      </c>
      <c r="I24" s="62">
        <v>38733725207</v>
      </c>
      <c r="J24" s="44" t="s">
        <v>92</v>
      </c>
      <c r="K24" s="24" t="s">
        <v>93</v>
      </c>
      <c r="L24" s="24" t="s">
        <v>94</v>
      </c>
      <c r="M24" s="24" t="s">
        <v>95</v>
      </c>
      <c r="N24" s="24" t="s">
        <v>95</v>
      </c>
      <c r="O24" s="24" t="s">
        <v>95</v>
      </c>
      <c r="P24" s="38" t="s">
        <v>434</v>
      </c>
      <c r="Q24" s="52"/>
    </row>
    <row r="25" spans="1:17" s="55" customFormat="1" ht="33.6" customHeight="1">
      <c r="A25" s="17">
        <v>23</v>
      </c>
      <c r="B25" s="17" t="s">
        <v>64</v>
      </c>
      <c r="C25" s="17" t="s">
        <v>336</v>
      </c>
      <c r="D25" s="17" t="s">
        <v>60</v>
      </c>
      <c r="E25" s="17" t="s">
        <v>110</v>
      </c>
      <c r="F25" s="17" t="s">
        <v>312</v>
      </c>
      <c r="G25" s="17" t="s">
        <v>313</v>
      </c>
      <c r="H25" s="47" t="s">
        <v>314</v>
      </c>
      <c r="I25" s="17">
        <v>38733777260</v>
      </c>
      <c r="J25" s="47" t="s">
        <v>315</v>
      </c>
      <c r="K25" s="17" t="s">
        <v>440</v>
      </c>
      <c r="L25" s="17" t="s">
        <v>399</v>
      </c>
      <c r="M25" s="17" t="s">
        <v>441</v>
      </c>
      <c r="N25" s="17"/>
      <c r="O25" s="17" t="s">
        <v>340</v>
      </c>
      <c r="P25" s="38" t="s">
        <v>434</v>
      </c>
      <c r="Q25" s="54"/>
    </row>
    <row r="26" spans="1:17" s="46" customFormat="1" ht="33.6" customHeight="1">
      <c r="A26" s="17">
        <v>24</v>
      </c>
      <c r="B26" s="19" t="s">
        <v>27</v>
      </c>
      <c r="C26" s="24" t="s">
        <v>203</v>
      </c>
      <c r="D26" s="24" t="s">
        <v>88</v>
      </c>
      <c r="E26" s="24" t="s">
        <v>442</v>
      </c>
      <c r="F26" s="24" t="s">
        <v>204</v>
      </c>
      <c r="G26" s="24" t="s">
        <v>90</v>
      </c>
      <c r="H26" s="24" t="s">
        <v>91</v>
      </c>
      <c r="I26" s="62">
        <v>38733725207</v>
      </c>
      <c r="J26" s="44" t="s">
        <v>92</v>
      </c>
      <c r="K26" s="24" t="s">
        <v>205</v>
      </c>
      <c r="L26" s="24" t="s">
        <v>206</v>
      </c>
      <c r="M26" s="24" t="s">
        <v>95</v>
      </c>
      <c r="N26" s="24" t="s">
        <v>95</v>
      </c>
      <c r="O26" s="24" t="s">
        <v>95</v>
      </c>
      <c r="P26" s="38" t="s">
        <v>434</v>
      </c>
      <c r="Q26" s="45"/>
    </row>
    <row r="27" spans="1:17" s="46" customFormat="1" ht="33.6" customHeight="1">
      <c r="A27" s="17">
        <v>25</v>
      </c>
      <c r="B27" s="19" t="s">
        <v>28</v>
      </c>
      <c r="C27" s="19" t="s">
        <v>117</v>
      </c>
      <c r="D27" s="17" t="s">
        <v>393</v>
      </c>
      <c r="E27" s="19" t="s">
        <v>110</v>
      </c>
      <c r="F27" s="19" t="s">
        <v>443</v>
      </c>
      <c r="G27" s="19" t="s">
        <v>119</v>
      </c>
      <c r="H27" s="42" t="s">
        <v>120</v>
      </c>
      <c r="I27" s="19">
        <v>38733209044</v>
      </c>
      <c r="J27" s="19" t="s">
        <v>121</v>
      </c>
      <c r="K27" s="19" t="s">
        <v>122</v>
      </c>
      <c r="L27" s="19"/>
      <c r="M27" s="19" t="s">
        <v>444</v>
      </c>
      <c r="N27" s="19"/>
      <c r="O27" s="19"/>
      <c r="P27" s="38" t="s">
        <v>434</v>
      </c>
      <c r="Q27" s="45"/>
    </row>
    <row r="28" spans="1:17" s="46" customFormat="1" ht="51.6" customHeight="1">
      <c r="A28" s="17">
        <v>26</v>
      </c>
      <c r="B28" s="18" t="s">
        <v>65</v>
      </c>
      <c r="C28" s="18" t="s">
        <v>341</v>
      </c>
      <c r="D28" s="18" t="s">
        <v>60</v>
      </c>
      <c r="E28" s="18" t="s">
        <v>110</v>
      </c>
      <c r="F28" s="18" t="s">
        <v>312</v>
      </c>
      <c r="G28" s="18" t="s">
        <v>313</v>
      </c>
      <c r="H28" s="37" t="s">
        <v>314</v>
      </c>
      <c r="I28" s="18">
        <v>38733777260</v>
      </c>
      <c r="J28" s="37" t="s">
        <v>315</v>
      </c>
      <c r="K28" s="18" t="s">
        <v>445</v>
      </c>
      <c r="L28" s="18" t="s">
        <v>446</v>
      </c>
      <c r="M28" s="18" t="s">
        <v>344</v>
      </c>
      <c r="N28" s="18"/>
      <c r="O28" s="18" t="s">
        <v>345</v>
      </c>
      <c r="P28" s="38" t="s">
        <v>434</v>
      </c>
      <c r="Q28" s="45"/>
    </row>
    <row r="29" spans="1:17" s="46" customFormat="1" ht="33.6" customHeight="1">
      <c r="A29" s="17">
        <v>27</v>
      </c>
      <c r="B29" s="17" t="s">
        <v>66</v>
      </c>
      <c r="C29" s="17" t="s">
        <v>322</v>
      </c>
      <c r="D29" s="17" t="s">
        <v>60</v>
      </c>
      <c r="E29" s="17" t="s">
        <v>110</v>
      </c>
      <c r="F29" s="17" t="s">
        <v>284</v>
      </c>
      <c r="G29" s="17" t="s">
        <v>285</v>
      </c>
      <c r="H29" s="56" t="s">
        <v>323</v>
      </c>
      <c r="I29" s="17">
        <v>38733562379</v>
      </c>
      <c r="J29" s="17" t="s">
        <v>332</v>
      </c>
      <c r="K29" s="17"/>
      <c r="L29" s="17" t="s">
        <v>346</v>
      </c>
      <c r="M29" s="17" t="s">
        <v>347</v>
      </c>
      <c r="N29" s="47" t="s">
        <v>348</v>
      </c>
      <c r="O29" s="17" t="s">
        <v>328</v>
      </c>
      <c r="P29" s="38" t="s">
        <v>434</v>
      </c>
      <c r="Q29" s="45"/>
    </row>
    <row r="30" spans="1:17" s="46" customFormat="1" ht="33.6" customHeight="1">
      <c r="A30" s="17">
        <v>28</v>
      </c>
      <c r="B30" s="18" t="s">
        <v>67</v>
      </c>
      <c r="C30" s="18" t="s">
        <v>322</v>
      </c>
      <c r="D30" s="18" t="s">
        <v>60</v>
      </c>
      <c r="E30" s="18" t="s">
        <v>110</v>
      </c>
      <c r="F30" s="18" t="s">
        <v>284</v>
      </c>
      <c r="G30" s="18" t="s">
        <v>285</v>
      </c>
      <c r="H30" s="43" t="s">
        <v>323</v>
      </c>
      <c r="I30" s="18">
        <v>38733562379</v>
      </c>
      <c r="J30" s="18" t="s">
        <v>332</v>
      </c>
      <c r="K30" s="18"/>
      <c r="L30" s="18" t="s">
        <v>346</v>
      </c>
      <c r="M30" s="18" t="s">
        <v>347</v>
      </c>
      <c r="N30" s="37" t="s">
        <v>349</v>
      </c>
      <c r="O30" s="18" t="s">
        <v>328</v>
      </c>
      <c r="P30" s="38" t="s">
        <v>434</v>
      </c>
      <c r="Q30" s="45"/>
    </row>
    <row r="31" spans="1:17" s="46" customFormat="1" ht="33.6" customHeight="1">
      <c r="A31" s="17">
        <v>29</v>
      </c>
      <c r="B31" s="27" t="s">
        <v>38</v>
      </c>
      <c r="C31" s="19" t="s">
        <v>221</v>
      </c>
      <c r="D31" s="19" t="s">
        <v>388</v>
      </c>
      <c r="E31" s="27" t="s">
        <v>222</v>
      </c>
      <c r="F31" s="19" t="s">
        <v>173</v>
      </c>
      <c r="G31" s="19" t="s">
        <v>223</v>
      </c>
      <c r="H31" s="42" t="s">
        <v>224</v>
      </c>
      <c r="I31" s="19">
        <v>38733775723</v>
      </c>
      <c r="J31" s="42" t="s">
        <v>225</v>
      </c>
      <c r="K31" s="19" t="s">
        <v>226</v>
      </c>
      <c r="L31" s="27" t="s">
        <v>227</v>
      </c>
      <c r="M31" s="19" t="s">
        <v>447</v>
      </c>
      <c r="N31" s="42" t="s">
        <v>229</v>
      </c>
      <c r="O31" s="19"/>
      <c r="P31" s="38" t="s">
        <v>434</v>
      </c>
      <c r="Q31" s="45"/>
    </row>
    <row r="32" spans="1:17" s="46" customFormat="1" ht="33.6" customHeight="1">
      <c r="A32" s="17">
        <v>29</v>
      </c>
      <c r="B32" s="27" t="s">
        <v>38</v>
      </c>
      <c r="C32" s="28" t="s">
        <v>283</v>
      </c>
      <c r="D32" s="29" t="s">
        <v>51</v>
      </c>
      <c r="E32" s="27" t="s">
        <v>222</v>
      </c>
      <c r="F32" s="21" t="s">
        <v>284</v>
      </c>
      <c r="G32" s="18" t="s">
        <v>285</v>
      </c>
      <c r="H32" s="57" t="s">
        <v>286</v>
      </c>
      <c r="I32" s="21">
        <v>38733562472</v>
      </c>
      <c r="J32" s="41" t="s">
        <v>287</v>
      </c>
      <c r="K32" s="21" t="s">
        <v>226</v>
      </c>
      <c r="L32" s="27" t="s">
        <v>227</v>
      </c>
      <c r="M32" s="21" t="s">
        <v>288</v>
      </c>
      <c r="N32" s="41" t="s">
        <v>289</v>
      </c>
      <c r="O32" s="21"/>
      <c r="P32" s="38" t="s">
        <v>434</v>
      </c>
      <c r="Q32" s="45"/>
    </row>
    <row r="33" spans="1:17" s="46" customFormat="1" ht="33.6" customHeight="1">
      <c r="A33" s="17">
        <v>29</v>
      </c>
      <c r="B33" s="27" t="s">
        <v>38</v>
      </c>
      <c r="C33" s="19" t="s">
        <v>290</v>
      </c>
      <c r="D33" s="29" t="s">
        <v>51</v>
      </c>
      <c r="E33" s="27" t="s">
        <v>222</v>
      </c>
      <c r="F33" s="19" t="s">
        <v>212</v>
      </c>
      <c r="G33" s="19" t="s">
        <v>213</v>
      </c>
      <c r="H33" s="42" t="s">
        <v>214</v>
      </c>
      <c r="I33" s="19">
        <v>38733291190</v>
      </c>
      <c r="J33" s="19" t="s">
        <v>215</v>
      </c>
      <c r="K33" s="19" t="s">
        <v>226</v>
      </c>
      <c r="L33" s="27" t="s">
        <v>227</v>
      </c>
      <c r="M33" s="19" t="s">
        <v>291</v>
      </c>
      <c r="N33" s="42" t="s">
        <v>292</v>
      </c>
      <c r="O33" s="19"/>
      <c r="P33" s="38" t="s">
        <v>434</v>
      </c>
      <c r="Q33" s="45"/>
    </row>
    <row r="34" spans="1:17" s="46" customFormat="1" ht="91.5" customHeight="1">
      <c r="A34" s="17">
        <v>30</v>
      </c>
      <c r="B34" s="18" t="s">
        <v>70</v>
      </c>
      <c r="C34" s="18" t="s">
        <v>350</v>
      </c>
      <c r="D34" s="18" t="s">
        <v>60</v>
      </c>
      <c r="E34" s="18" t="s">
        <v>88</v>
      </c>
      <c r="F34" s="18" t="s">
        <v>435</v>
      </c>
      <c r="G34" s="18"/>
      <c r="H34" s="18"/>
      <c r="I34" s="18"/>
      <c r="J34" s="18"/>
      <c r="K34" s="18" t="s">
        <v>448</v>
      </c>
      <c r="L34" s="18" t="s">
        <v>449</v>
      </c>
      <c r="M34" s="18" t="s">
        <v>450</v>
      </c>
      <c r="N34" s="18"/>
      <c r="O34" s="18" t="s">
        <v>354</v>
      </c>
      <c r="P34" s="38" t="s">
        <v>434</v>
      </c>
      <c r="Q34" s="45"/>
    </row>
    <row r="35" spans="1:17" s="46" customFormat="1" ht="57">
      <c r="A35" s="17">
        <v>31</v>
      </c>
      <c r="B35" s="19" t="s">
        <v>3</v>
      </c>
      <c r="C35" s="19" t="s">
        <v>168</v>
      </c>
      <c r="D35" s="19" t="s">
        <v>409</v>
      </c>
      <c r="E35" s="19" t="s">
        <v>88</v>
      </c>
      <c r="F35" s="19" t="s">
        <v>169</v>
      </c>
      <c r="G35" s="19" t="s">
        <v>170</v>
      </c>
      <c r="H35" s="42"/>
      <c r="I35" s="19">
        <v>38733285261</v>
      </c>
      <c r="J35" s="42"/>
      <c r="K35" s="19"/>
      <c r="L35" s="19" t="s">
        <v>171</v>
      </c>
      <c r="M35" s="42"/>
      <c r="N35" s="42"/>
      <c r="O35" s="58"/>
      <c r="P35" s="58" t="s">
        <v>451</v>
      </c>
      <c r="Q35" s="45"/>
    </row>
    <row r="36" spans="1:17" s="46" customFormat="1" ht="86.4" customHeight="1">
      <c r="A36" s="17">
        <v>32</v>
      </c>
      <c r="B36" s="20" t="s">
        <v>52</v>
      </c>
      <c r="C36" s="20" t="s">
        <v>293</v>
      </c>
      <c r="D36" s="17" t="s">
        <v>51</v>
      </c>
      <c r="E36" s="19" t="s">
        <v>222</v>
      </c>
      <c r="F36" s="19" t="s">
        <v>294</v>
      </c>
      <c r="G36" s="19" t="s">
        <v>295</v>
      </c>
      <c r="H36" s="42" t="s">
        <v>296</v>
      </c>
      <c r="I36" s="20">
        <v>38733562128</v>
      </c>
      <c r="J36" s="42" t="s">
        <v>297</v>
      </c>
      <c r="K36" s="19" t="s">
        <v>298</v>
      </c>
      <c r="L36" s="20" t="s">
        <v>299</v>
      </c>
      <c r="M36" s="42" t="s">
        <v>300</v>
      </c>
      <c r="N36" s="42" t="s">
        <v>301</v>
      </c>
      <c r="O36" s="58"/>
      <c r="P36" s="58" t="s">
        <v>451</v>
      </c>
      <c r="Q36" s="45"/>
    </row>
    <row r="37" spans="1:17" s="46" customFormat="1" ht="111.6" customHeight="1">
      <c r="A37" s="17">
        <v>33</v>
      </c>
      <c r="B37" s="19" t="s">
        <v>30</v>
      </c>
      <c r="C37" s="19" t="s">
        <v>159</v>
      </c>
      <c r="D37" s="17" t="s">
        <v>413</v>
      </c>
      <c r="E37" s="19" t="s">
        <v>88</v>
      </c>
      <c r="F37" s="19"/>
      <c r="G37" s="19"/>
      <c r="H37" s="42"/>
      <c r="I37" s="19"/>
      <c r="J37" s="42"/>
      <c r="K37" s="19" t="s">
        <v>160</v>
      </c>
      <c r="L37" s="19"/>
      <c r="M37" s="42"/>
      <c r="N37" s="42"/>
      <c r="O37" s="58"/>
      <c r="P37" s="58" t="s">
        <v>451</v>
      </c>
      <c r="Q37" s="45"/>
    </row>
    <row r="38" spans="1:17" s="46" customFormat="1" ht="61.5" customHeight="1">
      <c r="A38" s="17">
        <v>34</v>
      </c>
      <c r="B38" s="19" t="s">
        <v>6</v>
      </c>
      <c r="C38" s="19" t="s">
        <v>172</v>
      </c>
      <c r="D38" s="19" t="s">
        <v>409</v>
      </c>
      <c r="E38" s="19" t="s">
        <v>452</v>
      </c>
      <c r="F38" s="19" t="s">
        <v>173</v>
      </c>
      <c r="G38" s="19" t="s">
        <v>174</v>
      </c>
      <c r="H38" s="42" t="s">
        <v>175</v>
      </c>
      <c r="I38" s="64">
        <v>387733637384</v>
      </c>
      <c r="J38" s="42" t="s">
        <v>176</v>
      </c>
      <c r="K38" s="19" t="s">
        <v>177</v>
      </c>
      <c r="L38" s="19" t="s">
        <v>178</v>
      </c>
      <c r="M38" s="19" t="s">
        <v>179</v>
      </c>
      <c r="N38" s="59" t="s">
        <v>180</v>
      </c>
      <c r="O38" s="58"/>
      <c r="P38" s="58" t="s">
        <v>451</v>
      </c>
      <c r="Q38" s="45"/>
    </row>
    <row r="39" spans="1:17" s="46" customFormat="1" ht="34.200000000000003">
      <c r="A39" s="17">
        <v>35</v>
      </c>
      <c r="B39" s="19" t="s">
        <v>61</v>
      </c>
      <c r="C39" s="19" t="s">
        <v>355</v>
      </c>
      <c r="D39" s="17" t="s">
        <v>60</v>
      </c>
      <c r="E39" s="19" t="s">
        <v>453</v>
      </c>
      <c r="F39" s="19" t="s">
        <v>173</v>
      </c>
      <c r="G39" s="19" t="s">
        <v>174</v>
      </c>
      <c r="H39" s="42"/>
      <c r="I39" s="64">
        <v>387733637384</v>
      </c>
      <c r="J39" s="42" t="s">
        <v>176</v>
      </c>
      <c r="K39" s="19" t="s">
        <v>356</v>
      </c>
      <c r="L39" s="19" t="s">
        <v>301</v>
      </c>
      <c r="M39" s="19" t="s">
        <v>301</v>
      </c>
      <c r="N39" s="19" t="s">
        <v>301</v>
      </c>
      <c r="O39" s="58"/>
      <c r="P39" s="58" t="s">
        <v>451</v>
      </c>
      <c r="Q39" s="45"/>
    </row>
    <row r="40" spans="1:17" s="46" customFormat="1" ht="57">
      <c r="A40" s="17">
        <v>36</v>
      </c>
      <c r="B40" s="19" t="s">
        <v>7</v>
      </c>
      <c r="C40" s="19" t="s">
        <v>181</v>
      </c>
      <c r="D40" s="19" t="s">
        <v>409</v>
      </c>
      <c r="E40" s="19" t="s">
        <v>88</v>
      </c>
      <c r="F40" s="19" t="s">
        <v>173</v>
      </c>
      <c r="G40" s="19" t="s">
        <v>174</v>
      </c>
      <c r="H40" s="59" t="s">
        <v>180</v>
      </c>
      <c r="I40" s="64">
        <v>387733637384</v>
      </c>
      <c r="J40" s="42" t="s">
        <v>176</v>
      </c>
      <c r="K40" s="19" t="s">
        <v>182</v>
      </c>
      <c r="L40" s="59" t="s">
        <v>180</v>
      </c>
      <c r="M40" s="59" t="s">
        <v>180</v>
      </c>
      <c r="N40" s="59" t="s">
        <v>180</v>
      </c>
      <c r="O40" s="58"/>
      <c r="P40" s="58" t="s">
        <v>451</v>
      </c>
      <c r="Q40" s="45"/>
    </row>
    <row r="41" spans="1:17" s="46" customFormat="1" ht="144" customHeight="1">
      <c r="A41" s="17">
        <v>37</v>
      </c>
      <c r="B41" s="19" t="s">
        <v>43</v>
      </c>
      <c r="C41" s="19" t="s">
        <v>275</v>
      </c>
      <c r="D41" s="19"/>
      <c r="E41" s="19"/>
      <c r="F41" s="19" t="s">
        <v>276</v>
      </c>
      <c r="G41" s="19" t="s">
        <v>277</v>
      </c>
      <c r="H41" s="42"/>
      <c r="I41" s="19"/>
      <c r="J41" s="42"/>
      <c r="K41" s="19"/>
      <c r="L41" s="19" t="s">
        <v>278</v>
      </c>
      <c r="M41" s="19" t="s">
        <v>279</v>
      </c>
      <c r="N41" s="42"/>
      <c r="O41" s="58"/>
      <c r="P41" s="58" t="s">
        <v>451</v>
      </c>
      <c r="Q41" s="45"/>
    </row>
    <row r="42" spans="1:17" s="46" customFormat="1" ht="158.4" customHeight="1">
      <c r="A42" s="17">
        <v>38</v>
      </c>
      <c r="B42" s="19" t="s">
        <v>44</v>
      </c>
      <c r="C42" s="19" t="s">
        <v>270</v>
      </c>
      <c r="D42" s="19" t="s">
        <v>417</v>
      </c>
      <c r="E42" s="19" t="s">
        <v>454</v>
      </c>
      <c r="F42" s="19" t="s">
        <v>272</v>
      </c>
      <c r="G42" s="19"/>
      <c r="H42" s="42"/>
      <c r="I42" s="19"/>
      <c r="J42" s="42"/>
      <c r="K42" s="19"/>
      <c r="L42" s="19" t="s">
        <v>273</v>
      </c>
      <c r="M42" s="30" t="s">
        <v>274</v>
      </c>
      <c r="N42" s="42"/>
      <c r="O42" s="58"/>
      <c r="P42" s="58" t="s">
        <v>451</v>
      </c>
      <c r="Q42" s="45"/>
    </row>
    <row r="43" spans="1:17" s="46" customFormat="1" ht="57">
      <c r="A43" s="17">
        <v>39</v>
      </c>
      <c r="B43" s="19" t="s">
        <v>12</v>
      </c>
      <c r="C43" s="19" t="s">
        <v>183</v>
      </c>
      <c r="D43" s="19" t="s">
        <v>409</v>
      </c>
      <c r="E43" s="19" t="s">
        <v>88</v>
      </c>
      <c r="F43" s="19" t="s">
        <v>184</v>
      </c>
      <c r="G43" s="19"/>
      <c r="H43" s="42"/>
      <c r="I43" s="19"/>
      <c r="J43" s="42"/>
      <c r="K43" s="19"/>
      <c r="L43" s="19"/>
      <c r="M43" s="42"/>
      <c r="N43" s="42"/>
      <c r="O43" s="58"/>
      <c r="P43" s="58" t="s">
        <v>451</v>
      </c>
      <c r="Q43" s="45"/>
    </row>
    <row r="44" spans="1:17" s="46" customFormat="1" ht="79.8">
      <c r="A44" s="17">
        <v>40</v>
      </c>
      <c r="B44" s="19" t="s">
        <v>13</v>
      </c>
      <c r="C44" s="19" t="s">
        <v>185</v>
      </c>
      <c r="D44" s="19" t="s">
        <v>409</v>
      </c>
      <c r="E44" s="19"/>
      <c r="F44" s="19" t="s">
        <v>187</v>
      </c>
      <c r="G44" s="19" t="s">
        <v>188</v>
      </c>
      <c r="H44" s="42" t="s">
        <v>189</v>
      </c>
      <c r="I44" s="19">
        <v>38733653093</v>
      </c>
      <c r="J44" s="42"/>
      <c r="K44" s="19"/>
      <c r="L44" s="19"/>
      <c r="M44" s="19"/>
      <c r="N44" s="42"/>
      <c r="O44" s="58"/>
      <c r="P44" s="58" t="s">
        <v>451</v>
      </c>
      <c r="Q44" s="45"/>
    </row>
    <row r="45" spans="1:17" s="46" customFormat="1" ht="104.4" customHeight="1">
      <c r="A45" s="17">
        <v>41</v>
      </c>
      <c r="B45" s="19" t="s">
        <v>14</v>
      </c>
      <c r="C45" s="19" t="s">
        <v>190</v>
      </c>
      <c r="D45" s="19" t="s">
        <v>409</v>
      </c>
      <c r="E45" s="19" t="s">
        <v>191</v>
      </c>
      <c r="F45" s="19" t="s">
        <v>192</v>
      </c>
      <c r="G45" s="19"/>
      <c r="H45" s="42"/>
      <c r="I45" s="19"/>
      <c r="J45" s="42"/>
      <c r="K45" s="19" t="s">
        <v>193</v>
      </c>
      <c r="L45" s="19"/>
      <c r="M45" s="19" t="s">
        <v>194</v>
      </c>
      <c r="N45" s="42"/>
      <c r="O45" s="58"/>
      <c r="P45" s="58" t="s">
        <v>451</v>
      </c>
      <c r="Q45" s="45"/>
    </row>
    <row r="46" spans="1:17" s="46" customFormat="1" ht="57">
      <c r="A46" s="17">
        <v>42</v>
      </c>
      <c r="B46" s="19" t="s">
        <v>15</v>
      </c>
      <c r="C46" s="19"/>
      <c r="D46" s="19" t="s">
        <v>409</v>
      </c>
      <c r="E46" s="19"/>
      <c r="F46" s="19" t="s">
        <v>97</v>
      </c>
      <c r="G46" s="19"/>
      <c r="H46" s="42"/>
      <c r="I46" s="19"/>
      <c r="J46" s="42"/>
      <c r="K46" s="19"/>
      <c r="L46" s="19"/>
      <c r="M46" s="42"/>
      <c r="N46" s="42"/>
      <c r="O46" s="58"/>
      <c r="P46" s="58" t="s">
        <v>451</v>
      </c>
      <c r="Q46" s="45"/>
    </row>
    <row r="47" spans="1:17" s="46" customFormat="1" ht="11.4">
      <c r="A47" s="17">
        <v>43</v>
      </c>
      <c r="B47" s="19" t="s">
        <v>45</v>
      </c>
      <c r="C47" s="19"/>
      <c r="D47" s="19"/>
      <c r="E47" s="19"/>
      <c r="F47" s="19"/>
      <c r="G47" s="19"/>
      <c r="H47" s="42"/>
      <c r="I47" s="19"/>
      <c r="J47" s="42"/>
      <c r="K47" s="42" t="s">
        <v>280</v>
      </c>
      <c r="L47" s="19"/>
      <c r="M47" s="42"/>
      <c r="N47" s="42"/>
      <c r="O47" s="58"/>
      <c r="P47" s="58" t="s">
        <v>451</v>
      </c>
      <c r="Q47" s="45"/>
    </row>
    <row r="48" spans="1:17" s="46" customFormat="1" ht="109.5" customHeight="1">
      <c r="A48" s="17">
        <v>44</v>
      </c>
      <c r="B48" s="19" t="s">
        <v>55</v>
      </c>
      <c r="C48" s="19" t="s">
        <v>302</v>
      </c>
      <c r="D48" s="17" t="s">
        <v>51</v>
      </c>
      <c r="E48" s="58"/>
      <c r="F48" s="58"/>
      <c r="G48" s="58"/>
      <c r="H48" s="58"/>
      <c r="I48" s="58"/>
      <c r="J48" s="58"/>
      <c r="K48" s="58"/>
      <c r="L48" s="20" t="s">
        <v>299</v>
      </c>
      <c r="M48" s="58"/>
      <c r="N48" s="58"/>
      <c r="O48" s="58"/>
      <c r="P48" s="58" t="s">
        <v>451</v>
      </c>
      <c r="Q48" s="45"/>
    </row>
    <row r="49" spans="1:17" s="46" customFormat="1" ht="99" customHeight="1">
      <c r="A49" s="17">
        <v>45</v>
      </c>
      <c r="B49" s="19" t="s">
        <v>56</v>
      </c>
      <c r="C49" s="20" t="s">
        <v>303</v>
      </c>
      <c r="D49" s="17" t="s">
        <v>51</v>
      </c>
      <c r="E49" s="19" t="s">
        <v>222</v>
      </c>
      <c r="F49" s="19" t="s">
        <v>294</v>
      </c>
      <c r="G49" s="19" t="s">
        <v>304</v>
      </c>
      <c r="H49" s="42" t="s">
        <v>296</v>
      </c>
      <c r="I49" s="20">
        <v>38733562128</v>
      </c>
      <c r="J49" s="42" t="s">
        <v>297</v>
      </c>
      <c r="K49" s="19" t="s">
        <v>298</v>
      </c>
      <c r="L49" s="20" t="s">
        <v>299</v>
      </c>
      <c r="M49" s="42" t="s">
        <v>300</v>
      </c>
      <c r="N49" s="42" t="s">
        <v>301</v>
      </c>
      <c r="O49" s="58"/>
      <c r="P49" s="58" t="s">
        <v>451</v>
      </c>
      <c r="Q49" s="45"/>
    </row>
    <row r="50" spans="1:17" s="46" customFormat="1" ht="29.4" customHeight="1">
      <c r="A50" s="17">
        <v>46</v>
      </c>
      <c r="B50" s="19" t="s">
        <v>18</v>
      </c>
      <c r="C50" s="19"/>
      <c r="D50" s="17" t="s">
        <v>2</v>
      </c>
      <c r="E50" s="19"/>
      <c r="F50" s="19" t="s">
        <v>97</v>
      </c>
      <c r="G50" s="19"/>
      <c r="H50" s="42"/>
      <c r="I50" s="19"/>
      <c r="J50" s="42"/>
      <c r="K50" s="19"/>
      <c r="L50" s="19"/>
      <c r="M50" s="42"/>
      <c r="N50" s="42"/>
      <c r="O50" s="58"/>
      <c r="P50" s="58" t="s">
        <v>451</v>
      </c>
      <c r="Q50" s="45"/>
    </row>
    <row r="51" spans="1:17" s="46" customFormat="1" ht="91.8">
      <c r="A51" s="17">
        <v>47</v>
      </c>
      <c r="B51" s="19" t="s">
        <v>36</v>
      </c>
      <c r="C51" s="19" t="s">
        <v>232</v>
      </c>
      <c r="D51" s="17" t="s">
        <v>423</v>
      </c>
      <c r="E51" s="19" t="s">
        <v>88</v>
      </c>
      <c r="F51" s="19" t="s">
        <v>233</v>
      </c>
      <c r="G51" s="19" t="s">
        <v>234</v>
      </c>
      <c r="H51" s="42" t="s">
        <v>235</v>
      </c>
      <c r="I51" s="19">
        <v>38733214249</v>
      </c>
      <c r="J51" s="42"/>
      <c r="K51" s="19"/>
      <c r="L51" s="19"/>
      <c r="M51" s="42" t="s">
        <v>235</v>
      </c>
      <c r="N51" s="42" t="s">
        <v>235</v>
      </c>
      <c r="O51" s="58"/>
      <c r="P51" s="58" t="s">
        <v>451</v>
      </c>
      <c r="Q51" s="45"/>
    </row>
    <row r="52" spans="1:17" s="46" customFormat="1" ht="34.200000000000003">
      <c r="A52" s="17">
        <v>48</v>
      </c>
      <c r="B52" s="19" t="s">
        <v>37</v>
      </c>
      <c r="C52" s="19" t="s">
        <v>230</v>
      </c>
      <c r="D52" s="19" t="s">
        <v>424</v>
      </c>
      <c r="E52" s="19" t="s">
        <v>222</v>
      </c>
      <c r="F52" s="19" t="s">
        <v>231</v>
      </c>
      <c r="G52" s="19"/>
      <c r="H52" s="58"/>
      <c r="I52" s="58"/>
      <c r="J52" s="58"/>
      <c r="K52" s="58"/>
      <c r="L52" s="58"/>
      <c r="M52" s="58"/>
      <c r="N52" s="58"/>
      <c r="O52" s="58"/>
      <c r="P52" s="58" t="s">
        <v>451</v>
      </c>
      <c r="Q52" s="45"/>
    </row>
    <row r="53" spans="1:17" s="46" customFormat="1" ht="71.400000000000006" customHeight="1">
      <c r="A53" s="17">
        <v>49</v>
      </c>
      <c r="B53" s="19" t="s">
        <v>29</v>
      </c>
      <c r="C53" s="19" t="s">
        <v>161</v>
      </c>
      <c r="D53" s="17" t="s">
        <v>413</v>
      </c>
      <c r="E53" s="19" t="s">
        <v>88</v>
      </c>
      <c r="F53" s="19" t="s">
        <v>97</v>
      </c>
      <c r="G53" s="19"/>
      <c r="H53" s="42"/>
      <c r="I53" s="19"/>
      <c r="J53" s="42"/>
      <c r="K53" s="19" t="s">
        <v>162</v>
      </c>
      <c r="L53" s="19"/>
      <c r="M53" s="42"/>
      <c r="N53" s="42"/>
      <c r="O53" s="58"/>
      <c r="P53" s="58" t="s">
        <v>451</v>
      </c>
      <c r="Q53" s="45"/>
    </row>
    <row r="54" spans="1:17" ht="45.6">
      <c r="A54" s="17">
        <v>50</v>
      </c>
      <c r="B54" s="19" t="s">
        <v>31</v>
      </c>
      <c r="C54" s="19" t="s">
        <v>163</v>
      </c>
      <c r="D54" s="17" t="s">
        <v>413</v>
      </c>
      <c r="E54" s="19" t="s">
        <v>110</v>
      </c>
      <c r="F54" s="19" t="s">
        <v>164</v>
      </c>
      <c r="G54" s="19"/>
      <c r="H54" s="42"/>
      <c r="I54" s="19"/>
      <c r="J54" s="42"/>
      <c r="K54" s="19"/>
      <c r="L54" s="19"/>
      <c r="M54" s="42"/>
      <c r="N54" s="42"/>
      <c r="O54" s="58"/>
      <c r="P54" s="58" t="s">
        <v>451</v>
      </c>
    </row>
    <row r="55" spans="1:17" ht="74.099999999999994" customHeight="1">
      <c r="A55" s="17">
        <v>51</v>
      </c>
      <c r="B55" s="19" t="s">
        <v>54</v>
      </c>
      <c r="C55" s="19" t="s">
        <v>305</v>
      </c>
      <c r="D55" s="19" t="s">
        <v>51</v>
      </c>
      <c r="E55" s="58"/>
      <c r="F55" s="58"/>
      <c r="G55" s="58"/>
      <c r="H55" s="42"/>
      <c r="I55" s="58"/>
      <c r="J55" s="58"/>
      <c r="K55" s="19" t="s">
        <v>306</v>
      </c>
      <c r="L55" s="58"/>
      <c r="M55" s="58"/>
      <c r="N55" s="58"/>
      <c r="O55" s="58"/>
      <c r="P55" s="58" t="s">
        <v>455</v>
      </c>
    </row>
    <row r="56" spans="1:17" ht="102.6" customHeight="1">
      <c r="A56" s="17">
        <v>52</v>
      </c>
      <c r="B56" s="19" t="s">
        <v>16</v>
      </c>
      <c r="C56" s="19" t="s">
        <v>195</v>
      </c>
      <c r="D56" s="19" t="s">
        <v>409</v>
      </c>
      <c r="E56" s="58"/>
      <c r="F56" s="58"/>
      <c r="G56" s="58"/>
      <c r="H56" s="61" t="s">
        <v>196</v>
      </c>
      <c r="I56" s="58"/>
      <c r="J56" s="58"/>
      <c r="K56" s="19" t="s">
        <v>197</v>
      </c>
      <c r="L56" s="58"/>
      <c r="M56" s="58"/>
      <c r="N56" s="58"/>
      <c r="O56" s="58"/>
      <c r="P56" s="58" t="s">
        <v>455</v>
      </c>
    </row>
    <row r="57" spans="1:17" ht="66.900000000000006" customHeight="1">
      <c r="A57" s="17">
        <v>53</v>
      </c>
      <c r="B57" s="19" t="s">
        <v>19</v>
      </c>
      <c r="C57" s="19" t="s">
        <v>165</v>
      </c>
      <c r="D57" s="19" t="s">
        <v>427</v>
      </c>
      <c r="E57" s="58"/>
      <c r="F57" s="58"/>
      <c r="G57" s="58"/>
      <c r="H57" s="58"/>
      <c r="I57" s="58"/>
      <c r="J57" s="58"/>
      <c r="K57" s="19" t="s">
        <v>166</v>
      </c>
      <c r="L57" s="58"/>
      <c r="M57" s="58"/>
      <c r="N57" s="58"/>
      <c r="O57" s="58"/>
      <c r="P57" s="58" t="s">
        <v>455</v>
      </c>
    </row>
    <row r="58" spans="1:17" ht="69.599999999999994" customHeight="1">
      <c r="A58" s="17">
        <v>54</v>
      </c>
      <c r="B58" s="19" t="s">
        <v>57</v>
      </c>
      <c r="C58" s="19" t="s">
        <v>307</v>
      </c>
      <c r="D58" s="19" t="s">
        <v>51</v>
      </c>
      <c r="E58" s="58"/>
      <c r="F58" s="58"/>
      <c r="G58" s="58"/>
      <c r="H58" s="19"/>
      <c r="I58" s="58"/>
      <c r="J58" s="58"/>
      <c r="K58" s="19" t="s">
        <v>308</v>
      </c>
      <c r="L58" s="58"/>
      <c r="M58" s="58"/>
      <c r="N58" s="58"/>
      <c r="O58" s="58"/>
      <c r="P58" s="58" t="s">
        <v>455</v>
      </c>
    </row>
    <row r="59" spans="1:17" ht="93" customHeight="1">
      <c r="A59" s="17">
        <v>55</v>
      </c>
      <c r="B59" s="19" t="s">
        <v>48</v>
      </c>
      <c r="C59" s="19" t="s">
        <v>251</v>
      </c>
      <c r="D59" s="19" t="s">
        <v>40</v>
      </c>
      <c r="E59" s="58"/>
      <c r="F59" s="58"/>
      <c r="G59" s="58"/>
      <c r="H59" s="42"/>
      <c r="I59" s="58"/>
      <c r="J59" s="58"/>
      <c r="K59" s="19" t="s">
        <v>252</v>
      </c>
      <c r="L59" s="58"/>
      <c r="M59" s="58"/>
      <c r="N59" s="58"/>
      <c r="O59" s="58"/>
      <c r="P59" s="58" t="s">
        <v>455</v>
      </c>
    </row>
    <row r="60" spans="1:17" ht="83.1" customHeight="1">
      <c r="A60" s="17">
        <v>56</v>
      </c>
      <c r="B60" s="19" t="s">
        <v>58</v>
      </c>
      <c r="C60" s="19" t="s">
        <v>309</v>
      </c>
      <c r="D60" s="19" t="s">
        <v>51</v>
      </c>
      <c r="E60" s="58"/>
      <c r="F60" s="58"/>
      <c r="G60" s="58"/>
      <c r="H60" s="42"/>
      <c r="I60" s="58"/>
      <c r="J60" s="58"/>
      <c r="K60" s="19" t="s">
        <v>310</v>
      </c>
      <c r="L60" s="58"/>
      <c r="M60" s="58"/>
      <c r="N60" s="58"/>
      <c r="O60" s="58"/>
      <c r="P60" s="58" t="s">
        <v>455</v>
      </c>
    </row>
    <row r="61" spans="1:17" ht="66.900000000000006" customHeight="1">
      <c r="A61" s="17">
        <v>57</v>
      </c>
      <c r="B61" s="19" t="s">
        <v>49</v>
      </c>
      <c r="C61" s="19" t="s">
        <v>253</v>
      </c>
      <c r="D61" s="19" t="s">
        <v>40</v>
      </c>
      <c r="E61" s="58"/>
      <c r="F61" s="58"/>
      <c r="G61" s="58"/>
      <c r="H61" s="19"/>
      <c r="I61" s="58"/>
      <c r="J61" s="58"/>
      <c r="K61" s="19" t="s">
        <v>254</v>
      </c>
      <c r="L61" s="58"/>
      <c r="M61" s="58"/>
      <c r="N61" s="58"/>
      <c r="O61" s="58"/>
      <c r="P61" s="58" t="s">
        <v>455</v>
      </c>
    </row>
    <row r="62" spans="1:17" ht="77.099999999999994" customHeight="1">
      <c r="A62" s="17">
        <v>58</v>
      </c>
      <c r="B62" s="19" t="s">
        <v>22</v>
      </c>
      <c r="C62" s="19" t="s">
        <v>198</v>
      </c>
      <c r="D62" s="19" t="s">
        <v>409</v>
      </c>
      <c r="E62" s="58"/>
      <c r="F62" s="58"/>
      <c r="G62" s="58"/>
      <c r="H62" s="19"/>
      <c r="I62" s="58"/>
      <c r="J62" s="58"/>
      <c r="K62" s="19" t="s">
        <v>200</v>
      </c>
      <c r="L62" s="58"/>
      <c r="M62" s="58"/>
      <c r="N62" s="58"/>
      <c r="O62" s="58"/>
      <c r="P62" s="58" t="s">
        <v>455</v>
      </c>
    </row>
    <row r="63" spans="1:17" ht="99.6" customHeight="1">
      <c r="A63" s="17">
        <v>59</v>
      </c>
      <c r="B63" s="20" t="s">
        <v>23</v>
      </c>
      <c r="C63" s="20" t="s">
        <v>201</v>
      </c>
      <c r="D63" s="19" t="s">
        <v>409</v>
      </c>
      <c r="E63" s="58"/>
      <c r="F63" s="58"/>
      <c r="G63" s="58"/>
      <c r="H63" s="19"/>
      <c r="I63" s="58"/>
      <c r="J63" s="58"/>
      <c r="K63" s="19" t="s">
        <v>202</v>
      </c>
      <c r="L63" s="58"/>
      <c r="M63" s="58"/>
      <c r="N63" s="58"/>
      <c r="O63" s="58"/>
      <c r="P63" s="58" t="s">
        <v>455</v>
      </c>
    </row>
    <row r="64" spans="1:17" ht="72" customHeight="1">
      <c r="A64" s="17">
        <v>60</v>
      </c>
      <c r="B64" s="19" t="s">
        <v>24</v>
      </c>
      <c r="C64" s="19"/>
      <c r="D64" s="19" t="s">
        <v>409</v>
      </c>
      <c r="E64" s="58"/>
      <c r="F64" s="58"/>
      <c r="G64" s="58"/>
      <c r="H64" s="42"/>
      <c r="I64" s="58"/>
      <c r="J64" s="58"/>
      <c r="K64" s="19"/>
      <c r="L64" s="58"/>
      <c r="M64" s="58"/>
      <c r="N64" s="58"/>
      <c r="O64" s="58"/>
      <c r="P64" s="58" t="s">
        <v>455</v>
      </c>
    </row>
  </sheetData>
  <dataValidations disablePrompts="1" count="1">
    <dataValidation type="list" allowBlank="1" showInputMessage="1" showErrorMessage="1" sqref="E28 E13 E24:E26 E17:E18 E15" xr:uid="{8F6D427C-4D66-407D-B279-1FD094E3ED04}">
      <formula1>#REF!</formula1>
    </dataValidation>
  </dataValidations>
  <hyperlinks>
    <hyperlink ref="H21" r:id="rId1" xr:uid="{AF916104-F6FD-43BC-8AE3-E2A3C7579F6D}"/>
    <hyperlink ref="N21" r:id="rId2" xr:uid="{9443EF87-ABE7-40C3-974A-4E7A56BFF10D}"/>
    <hyperlink ref="M21" r:id="rId3" xr:uid="{40E0FBC6-00AF-44B3-AA71-F021A9EE2B0E}"/>
    <hyperlink ref="H17" r:id="rId4" xr:uid="{1DB78B68-AEFC-4E5B-8666-38952CED53A6}"/>
    <hyperlink ref="M17" r:id="rId5" xr:uid="{5523DC9F-A7AB-457E-A9D0-E53279A0CBB2}"/>
    <hyperlink ref="N17" r:id="rId6" xr:uid="{E5BAAB80-12C2-4A30-945B-1DCDBE3807C2}"/>
    <hyperlink ref="H22" r:id="rId7" xr:uid="{2FB61CF2-59C5-4CC7-812B-B40AB60ADA28}"/>
    <hyperlink ref="M22" r:id="rId8" xr:uid="{91601EDB-1660-4240-9AB9-08E295609FCD}"/>
    <hyperlink ref="N22" r:id="rId9" xr:uid="{0CD78C52-8863-42B6-B597-9E148F720F3E}"/>
    <hyperlink ref="H19" r:id="rId10" xr:uid="{F620CB8A-E821-4051-B91A-A08048E96B09}"/>
    <hyperlink ref="N19" r:id="rId11" xr:uid="{EFB3049A-753B-412B-8C25-30AD1B96D8B1}"/>
    <hyperlink ref="M16" r:id="rId12" xr:uid="{C9EC6CC9-94AD-4EEE-ACBE-F9CDEA956763}"/>
    <hyperlink ref="N16" r:id="rId13" xr:uid="{984E7E6B-8B57-4DE5-B908-FEA6C3AF2C6C}"/>
    <hyperlink ref="H16" r:id="rId14" xr:uid="{0B8B0AAC-93CA-440A-BE6F-ECEA77F281BE}"/>
    <hyperlink ref="H15" r:id="rId15" xr:uid="{37D8407E-D356-4275-A099-A94A92862E23}"/>
    <hyperlink ref="M15" r:id="rId16" xr:uid="{AC6D5E18-AA63-46BA-B1A3-12DD943DE3E5}"/>
    <hyperlink ref="N15" r:id="rId17" xr:uid="{B87C0668-C52E-47E0-B7C9-69DA8FD16AA6}"/>
    <hyperlink ref="H14" r:id="rId18" xr:uid="{D0A7C36B-5E56-4137-9E81-0BB016471769}"/>
    <hyperlink ref="M14" r:id="rId19" xr:uid="{B71EF4EB-8C7D-4C9C-BA66-C242F0DD5F79}"/>
    <hyperlink ref="N14" r:id="rId20" xr:uid="{AAF3CB7F-DEEB-4CEC-ABD6-EFE812E19449}"/>
    <hyperlink ref="J21" r:id="rId21" xr:uid="{5BBD2114-005F-43B1-882C-B28D22B222A9}"/>
    <hyperlink ref="J4:J10" r:id="rId22" display="mirsada@kcsr.ba" xr:uid="{E1E3BD7C-529B-402B-9407-B23CBA73610B}"/>
    <hyperlink ref="H23" r:id="rId23" xr:uid="{33C5203E-244E-4C86-BA2B-0C9AC5044443}"/>
    <hyperlink ref="J23" r:id="rId24" xr:uid="{45AC306D-EB85-4691-9F87-7053B0E28934}"/>
    <hyperlink ref="M23" r:id="rId25" xr:uid="{772193D7-CB10-41E1-B79C-6E6EA8CC5292}"/>
    <hyperlink ref="J14" r:id="rId26" xr:uid="{D76D0C87-617C-4BA7-8001-B76F2AB2F3DB}"/>
    <hyperlink ref="N23" r:id="rId27" xr:uid="{AE7605B4-2F6E-44AD-99E8-78A0C26460B1}"/>
    <hyperlink ref="M11" r:id="rId28" xr:uid="{54A2BD01-0F6C-4ED5-B6CC-A09C376D8EDE}"/>
    <hyperlink ref="N11" r:id="rId29" xr:uid="{E749B43E-FAD1-4745-8E64-5CD7C20994AB}"/>
    <hyperlink ref="J11" r:id="rId30" xr:uid="{1F41D0ED-9DDF-4AEA-A258-5F449724C035}"/>
    <hyperlink ref="H11" r:id="rId31" xr:uid="{634C0A2F-AD71-4AEC-AD81-9F468F66AA22}"/>
    <hyperlink ref="J16" r:id="rId32" xr:uid="{15A41D83-0618-4023-9028-58129FE3EBC9}"/>
    <hyperlink ref="N18" r:id="rId33" xr:uid="{F455D9FC-8069-4604-B539-F71BC2E608E2}"/>
    <hyperlink ref="H18" r:id="rId34" xr:uid="{1CF8A549-9D92-41E0-B65A-5659277F58F8}"/>
    <hyperlink ref="H30" r:id="rId35" xr:uid="{8D592A8E-DAD9-4661-9E0F-178F669723FA}"/>
    <hyperlink ref="H29" r:id="rId36" xr:uid="{148565F4-FA33-4078-9118-69C8D10AE7D9}"/>
    <hyperlink ref="H7" r:id="rId37" xr:uid="{D4B93B4C-EF5C-4DEB-9C4E-5F5B2520CB91}"/>
    <hyperlink ref="N30" r:id="rId38" xr:uid="{156C8DF8-6B14-43D8-8078-4514638520C1}"/>
    <hyperlink ref="N29" r:id="rId39" xr:uid="{01B6929C-1FF6-4DD7-AA5F-2935F91845EB}"/>
    <hyperlink ref="N7" r:id="rId40" xr:uid="{16B99D73-2361-4F86-A8BC-A24A956E7C4D}"/>
    <hyperlink ref="H28" r:id="rId41" xr:uid="{FD3E5614-085B-4ECE-9BE3-4766A507CD8A}"/>
    <hyperlink ref="J28" r:id="rId42" xr:uid="{8FE42D68-FDB2-494C-9CE1-FDFBD05CBDFE}"/>
    <hyperlink ref="H25" r:id="rId43" xr:uid="{6C9F1528-A52D-4D7A-829F-13CFCF92E8CF}"/>
    <hyperlink ref="J25" r:id="rId44" xr:uid="{3EA3944B-F958-48F5-8C1D-B4BA66020333}"/>
    <hyperlink ref="H2" r:id="rId45" xr:uid="{11367E2C-18B0-44AD-8070-056B99592B53}"/>
    <hyperlink ref="J2" r:id="rId46" xr:uid="{734C097F-7482-4F75-AA62-DB0D413F3B0C}"/>
    <hyperlink ref="H27" r:id="rId47" xr:uid="{172F6B28-93D4-469B-AB26-2A7568CAE532}"/>
    <hyperlink ref="H31" r:id="rId48" xr:uid="{9B521343-318F-49D9-BC0E-ADE00E216C02}"/>
    <hyperlink ref="J31" r:id="rId49" xr:uid="{7B2DF7F6-C981-48D9-8156-6EFCD43AC64D}"/>
    <hyperlink ref="N31" r:id="rId50" xr:uid="{44F3EFB6-4E9E-43C2-B51A-BA8BB0868FEE}"/>
    <hyperlink ref="H32" r:id="rId51" display="https://www.centar.ba/gradjani/put-do-prava/porodica/treca-zivotna-dob" xr:uid="{2A889B80-E79F-47E8-9F41-FD9AC71A29F3}"/>
    <hyperlink ref="J32" r:id="rId52" xr:uid="{B5AAFF72-AE79-41C9-AE3F-0924F583964E}"/>
    <hyperlink ref="N32" r:id="rId53" xr:uid="{6890CA99-DE86-4984-98C3-02524F874E04}"/>
    <hyperlink ref="N33" r:id="rId54" xr:uid="{49B40FDA-E04B-46D1-9AA5-B944E5C3BE56}"/>
    <hyperlink ref="H33" r:id="rId55" xr:uid="{AC9246D4-84B1-4CCC-B4F7-4AFC4371D4A6}"/>
    <hyperlink ref="J5" r:id="rId56" xr:uid="{8F21A74E-FB78-4E77-96DB-9D73FABF3CBA}"/>
    <hyperlink ref="N5" r:id="rId57" xr:uid="{87D8CE00-CC9A-4B0C-ACD3-97261DA140C4}"/>
    <hyperlink ref="H5" r:id="rId58" xr:uid="{A5B52160-7826-4391-8CE7-202B5D280EA3}"/>
    <hyperlink ref="N4" r:id="rId59" xr:uid="{021F48E0-7D55-4B36-BA86-DA028C7FDC6E}"/>
    <hyperlink ref="N13" r:id="rId60"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4C461BF6-E532-4800-BF52-CC286410A6A1}"/>
    <hyperlink ref="H13" r:id="rId61" xr:uid="{42222EDD-F0C9-4874-BD95-6913275058AE}"/>
    <hyperlink ref="H20" r:id="rId62" xr:uid="{57BE087F-12D6-4A99-AE03-0104F4C96F41}"/>
    <hyperlink ref="J20" r:id="rId63" xr:uid="{96E3BC8A-5449-4D73-8B6B-884088ECF957}"/>
    <hyperlink ref="N20" r:id="rId64" xr:uid="{51500E54-4F48-4DD1-BACD-90943F454B68}"/>
    <hyperlink ref="H10" r:id="rId65" xr:uid="{C5B976FA-CB4A-4C28-957C-3FC525785F90}"/>
    <hyperlink ref="J10" r:id="rId66" xr:uid="{D4D8862F-38DE-4FE4-8104-9111D63A1550}"/>
    <hyperlink ref="H12" r:id="rId67" xr:uid="{8E07C6CD-1BA4-44E9-916C-1F896E21F390}"/>
    <hyperlink ref="J12" r:id="rId68" xr:uid="{7D064EB4-BA5A-4A74-8ADC-157352C34884}"/>
    <hyperlink ref="H9" r:id="rId69" xr:uid="{00D78DEA-1625-4DD2-BCC9-8659BD897106}"/>
    <hyperlink ref="J9" r:id="rId70" xr:uid="{975555F1-45C0-4C13-92D4-C10713A1322D}"/>
    <hyperlink ref="H24" r:id="rId71" xr:uid="{ABD6D7E4-A418-4524-A25C-950BB18CC652}"/>
    <hyperlink ref="J24" r:id="rId72" xr:uid="{43AFD627-71A2-4E82-8BE0-C746C13AB79C}"/>
    <hyperlink ref="H8" r:id="rId73" xr:uid="{6DC39BCD-33AF-44D2-9905-7CE80AF8A6CE}"/>
    <hyperlink ref="J8" r:id="rId74" xr:uid="{8F1ACFAA-56B4-48C9-BF45-8B2F2086F2F4}"/>
    <hyperlink ref="J26" r:id="rId75" xr:uid="{3D7A1774-A37E-4010-9845-AF3A88F36B92}"/>
    <hyperlink ref="H3" r:id="rId76" xr:uid="{5836FA53-ED17-4D0F-B7DA-3BA7D0FAFFB1}"/>
    <hyperlink ref="H4" r:id="rId77" xr:uid="{1AEC1D5B-69F8-4443-B5FA-83E604F53A03}"/>
    <hyperlink ref="O4" r:id="rId78" xr:uid="{84E32CA3-0A1F-4CD2-9BC3-C1482F0CE06A}"/>
    <hyperlink ref="H49" r:id="rId79" xr:uid="{2240E226-B929-48EE-8E6F-BF5224AEC646}"/>
    <hyperlink ref="J49" r:id="rId80" xr:uid="{89E38507-CEA9-406C-A26B-1D96784632C2}"/>
    <hyperlink ref="H36" r:id="rId81" xr:uid="{AA92AC8B-03AB-4870-B520-161705251C2E}"/>
    <hyperlink ref="J36" r:id="rId82" xr:uid="{5511C198-035D-4120-8EAC-5C6C8504A5D9}"/>
    <hyperlink ref="H38" r:id="rId83" xr:uid="{F3AB40C2-D9D5-4975-8B86-C8A4532C6151}"/>
    <hyperlink ref="J38" r:id="rId84" xr:uid="{232A5044-69F8-4939-B806-1AE728A6D6D0}"/>
    <hyperlink ref="J40" r:id="rId85" xr:uid="{5988E1D1-744D-406E-9EBF-BBC2262903F6}"/>
    <hyperlink ref="H40" r:id="rId86" display="https://www.opcinailidza.ba/uploads/files/shares/Elektronski_formulari/2021/socijalna 2/ZAHTJEV ZA PRIZNAVANJE PRAVA NA  JEDNOKRATNU NOV%C4%8CANU  POMO%C4%86 I SUFINANSIRANJE MEDICINSKI POTPOMOGNUTE OPLODNJE.pdf" xr:uid="{58763626-E9A5-43FE-9A63-5B15F3F4AE28}"/>
    <hyperlink ref="N40" r:id="rId87" display="https://www.opcinailidza.ba/uploads/files/shares/Elektronski_formulari/2021/socijalna 2/ZAHTJEV ZA PRIZNAVANJE PRAVA NA  JEDNOKRATNU NOV%C4%8CANU  POMO%C4%86 I SUFINANSIRANJE MEDICINSKI POTPOMOGNUTE OPLODNJE.pdf" xr:uid="{C414F654-FAAD-4C6E-BFF6-02BE4D7B0875}"/>
    <hyperlink ref="L40" r:id="rId88" display="https://www.opcinailidza.ba/uploads/files/shares/Elektronski_formulari/2021/socijalna 2/ZAHTJEV ZA PRIZNAVANJE PRAVA NA  JEDNOKRATNU NOV%C4%8CANU  POMO%C4%86 I SUFINANSIRANJE MEDICINSKI POTPOMOGNUTE OPLODNJE.pdf" xr:uid="{756763E0-86AA-4577-BB6D-19760E2F0E32}"/>
    <hyperlink ref="M40" r:id="rId89" display="https://www.opcinailidza.ba/uploads/files/shares/Elektronski_formulari/2021/socijalna 2/ZAHTJEV ZA PRIZNAVANJE PRAVA NA  JEDNOKRATNU NOV%C4%8CANU  POMO%C4%86 I SUFINANSIRANJE MEDICINSKI POTPOMOGNUTE OPLODNJE.pdf" xr:uid="{2122042B-36E6-4DD8-9F11-F5BD43E783FB}"/>
    <hyperlink ref="N38" r:id="rId90" display="https://www.opcinailidza.ba/uploads/files/shares/Elektronski_formulari/2021/socijalna 2/ZAHTJEV ZA PRIZNAVANJE PRAVA NA  JEDNOKRATNU NOV%C4%8CANU  POMO%C4%86 I SUFINANSIRANJE MEDICINSKI POTPOMOGNUTE OPLODNJE.pdf" xr:uid="{6FCBD541-379C-48FC-8A8A-EBF45EE41984}"/>
    <hyperlink ref="J39" r:id="rId91" xr:uid="{E25D356F-393A-4299-851E-9906F9D898D2}"/>
    <hyperlink ref="H51" r:id="rId92" xr:uid="{32914F61-88A1-4FC4-B9C2-5558A7485F04}"/>
    <hyperlink ref="M51" r:id="rId93" xr:uid="{3BDECDAC-50E5-456C-8562-4DD497BABABF}"/>
    <hyperlink ref="N51" r:id="rId94" xr:uid="{385CFC34-7B4F-4586-8387-CEDFB03FDA29}"/>
    <hyperlink ref="H44" r:id="rId95" xr:uid="{7CC92DB6-0D31-494E-808F-0A42DC7B4459}"/>
    <hyperlink ref="K47" r:id="rId96" xr:uid="{599B68CD-42CC-47FE-B45F-113A70EA68BF}"/>
    <hyperlink ref="J3" r:id="rId97" xr:uid="{9A880BBE-FFED-41A0-8C02-58D8692245D9}"/>
  </hyperlinks>
  <pageMargins left="0.7" right="0.7" top="0.75" bottom="0.75" header="0.3" footer="0.3"/>
  <legacyDrawing r:id="rId98"/>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522289A-6D68-4404-8C0A-891536904C5A}">
          <x14:formula1>
            <xm:f>Sheet2!$C$2:$C$22</xm:f>
          </x14:formula1>
          <xm:sqref>E26:E27 E2:E24 E38 E42 E35:E36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A8391-2707-49BC-A199-F020DD08ECF4}">
  <sheetPr codeName="Sheet12"/>
  <dimension ref="A1:I44"/>
  <sheetViews>
    <sheetView zoomScale="70" zoomScaleNormal="70" workbookViewId="0">
      <selection activeCell="D1" sqref="D1:D5"/>
    </sheetView>
  </sheetViews>
  <sheetFormatPr defaultColWidth="8.88671875" defaultRowHeight="14.4"/>
  <cols>
    <col min="1" max="1" width="14.44140625" bestFit="1" customWidth="1"/>
    <col min="2" max="2" width="15.88671875" bestFit="1" customWidth="1"/>
    <col min="3" max="3" width="23" bestFit="1" customWidth="1"/>
    <col min="4" max="4" width="19" customWidth="1"/>
  </cols>
  <sheetData>
    <row r="1" spans="1:9">
      <c r="A1" s="1" t="s">
        <v>456</v>
      </c>
      <c r="B1" s="1" t="s">
        <v>457</v>
      </c>
      <c r="C1" s="1" t="s">
        <v>458</v>
      </c>
      <c r="D1" s="1" t="s">
        <v>0</v>
      </c>
      <c r="E1" s="1" t="s">
        <v>2</v>
      </c>
      <c r="F1" s="1" t="s">
        <v>459</v>
      </c>
      <c r="G1" s="1" t="s">
        <v>51</v>
      </c>
      <c r="H1" s="1" t="s">
        <v>40</v>
      </c>
      <c r="I1" s="1" t="s">
        <v>60</v>
      </c>
    </row>
    <row r="2" spans="1:9" ht="91.2">
      <c r="A2" t="s">
        <v>410</v>
      </c>
      <c r="B2" t="s">
        <v>460</v>
      </c>
      <c r="C2" t="s">
        <v>88</v>
      </c>
      <c r="D2" t="s">
        <v>2</v>
      </c>
      <c r="E2" t="s">
        <v>3</v>
      </c>
      <c r="F2" t="s">
        <v>3</v>
      </c>
      <c r="G2" s="19" t="s">
        <v>3</v>
      </c>
      <c r="H2" s="19" t="s">
        <v>3</v>
      </c>
      <c r="I2" s="19" t="s">
        <v>3</v>
      </c>
    </row>
    <row r="3" spans="1:9" ht="57">
      <c r="A3" t="s">
        <v>461</v>
      </c>
      <c r="B3" t="s">
        <v>454</v>
      </c>
      <c r="C3" t="s">
        <v>222</v>
      </c>
      <c r="D3" t="s">
        <v>33</v>
      </c>
      <c r="E3" t="s">
        <v>4</v>
      </c>
      <c r="F3" t="s">
        <v>4</v>
      </c>
      <c r="G3" s="20" t="s">
        <v>52</v>
      </c>
      <c r="H3" s="19" t="s">
        <v>41</v>
      </c>
      <c r="I3" s="19" t="s">
        <v>41</v>
      </c>
    </row>
    <row r="4" spans="1:9" ht="114">
      <c r="A4" t="s">
        <v>462</v>
      </c>
      <c r="B4" t="s">
        <v>463</v>
      </c>
      <c r="C4" t="s">
        <v>186</v>
      </c>
      <c r="D4" t="s">
        <v>51</v>
      </c>
      <c r="E4" t="s">
        <v>5</v>
      </c>
      <c r="F4" t="s">
        <v>5</v>
      </c>
      <c r="G4" s="19" t="s">
        <v>4</v>
      </c>
      <c r="H4" s="22" t="s">
        <v>5</v>
      </c>
      <c r="I4" s="22" t="s">
        <v>5</v>
      </c>
    </row>
    <row r="5" spans="1:9" ht="114">
      <c r="C5" t="s">
        <v>271</v>
      </c>
      <c r="D5" t="s">
        <v>40</v>
      </c>
      <c r="E5" t="s">
        <v>6</v>
      </c>
      <c r="F5" t="s">
        <v>6</v>
      </c>
      <c r="G5" s="22" t="s">
        <v>5</v>
      </c>
      <c r="H5" s="19" t="s">
        <v>6</v>
      </c>
      <c r="I5" s="19" t="s">
        <v>6</v>
      </c>
    </row>
    <row r="6" spans="1:9" ht="91.2">
      <c r="C6" t="s">
        <v>199</v>
      </c>
      <c r="D6" t="s">
        <v>60</v>
      </c>
      <c r="E6" t="s">
        <v>7</v>
      </c>
      <c r="F6" t="s">
        <v>7</v>
      </c>
      <c r="G6" s="19" t="s">
        <v>6</v>
      </c>
      <c r="H6" s="19" t="s">
        <v>7</v>
      </c>
      <c r="I6" s="19" t="s">
        <v>61</v>
      </c>
    </row>
    <row r="7" spans="1:9" ht="91.2">
      <c r="C7" t="s">
        <v>464</v>
      </c>
      <c r="E7" t="s">
        <v>8</v>
      </c>
      <c r="F7" t="s">
        <v>8</v>
      </c>
      <c r="G7" s="19" t="s">
        <v>7</v>
      </c>
      <c r="H7" s="19" t="s">
        <v>8</v>
      </c>
      <c r="I7" s="19" t="s">
        <v>7</v>
      </c>
    </row>
    <row r="8" spans="1:9" ht="79.8">
      <c r="C8" t="s">
        <v>110</v>
      </c>
      <c r="E8" t="s">
        <v>9</v>
      </c>
      <c r="F8" t="s">
        <v>9</v>
      </c>
      <c r="G8" s="19" t="s">
        <v>8</v>
      </c>
      <c r="H8" s="19" t="s">
        <v>9</v>
      </c>
      <c r="I8" s="17" t="s">
        <v>62</v>
      </c>
    </row>
    <row r="9" spans="1:9" ht="79.8">
      <c r="C9" s="9" t="s">
        <v>100</v>
      </c>
      <c r="E9" t="s">
        <v>10</v>
      </c>
      <c r="F9" t="s">
        <v>10</v>
      </c>
      <c r="G9" s="19" t="s">
        <v>9</v>
      </c>
      <c r="H9" s="19" t="s">
        <v>10</v>
      </c>
      <c r="I9" s="19" t="s">
        <v>8</v>
      </c>
    </row>
    <row r="10" spans="1:9" ht="79.8">
      <c r="C10" t="s">
        <v>416</v>
      </c>
      <c r="E10" t="s">
        <v>11</v>
      </c>
      <c r="F10" t="s">
        <v>34</v>
      </c>
      <c r="G10" s="19" t="s">
        <v>10</v>
      </c>
      <c r="H10" s="17" t="s">
        <v>42</v>
      </c>
      <c r="I10" s="19" t="s">
        <v>9</v>
      </c>
    </row>
    <row r="11" spans="1:9" ht="91.2">
      <c r="E11" t="s">
        <v>12</v>
      </c>
      <c r="F11" t="s">
        <v>35</v>
      </c>
      <c r="G11" s="19" t="s">
        <v>34</v>
      </c>
      <c r="H11" s="19" t="s">
        <v>43</v>
      </c>
      <c r="I11" s="19" t="s">
        <v>10</v>
      </c>
    </row>
    <row r="12" spans="1:9" ht="91.2">
      <c r="E12" t="s">
        <v>13</v>
      </c>
      <c r="F12" t="s">
        <v>11</v>
      </c>
      <c r="G12" s="19" t="s">
        <v>35</v>
      </c>
      <c r="H12" s="19" t="s">
        <v>44</v>
      </c>
      <c r="I12" s="17" t="s">
        <v>42</v>
      </c>
    </row>
    <row r="13" spans="1:9" ht="91.8">
      <c r="E13" t="s">
        <v>14</v>
      </c>
      <c r="F13" t="s">
        <v>12</v>
      </c>
      <c r="G13" s="17" t="s">
        <v>11</v>
      </c>
      <c r="H13" s="19" t="s">
        <v>12</v>
      </c>
      <c r="I13" s="19" t="s">
        <v>43</v>
      </c>
    </row>
    <row r="14" spans="1:9" ht="91.2">
      <c r="E14" t="s">
        <v>15</v>
      </c>
      <c r="F14" t="s">
        <v>13</v>
      </c>
      <c r="G14" s="19" t="s">
        <v>44</v>
      </c>
      <c r="H14" s="19" t="s">
        <v>13</v>
      </c>
      <c r="I14" s="19" t="s">
        <v>44</v>
      </c>
    </row>
    <row r="15" spans="1:9" ht="91.2">
      <c r="E15" t="s">
        <v>16</v>
      </c>
      <c r="F15" t="s">
        <v>14</v>
      </c>
      <c r="G15" s="19" t="s">
        <v>12</v>
      </c>
      <c r="H15" s="19" t="s">
        <v>14</v>
      </c>
      <c r="I15" s="19" t="s">
        <v>12</v>
      </c>
    </row>
    <row r="16" spans="1:9" ht="45.6">
      <c r="E16" t="s">
        <v>17</v>
      </c>
      <c r="F16" t="s">
        <v>15</v>
      </c>
      <c r="G16" s="19" t="s">
        <v>13</v>
      </c>
      <c r="H16" s="19" t="s">
        <v>15</v>
      </c>
      <c r="I16" s="19" t="s">
        <v>13</v>
      </c>
    </row>
    <row r="17" spans="5:9" ht="91.2">
      <c r="E17" t="s">
        <v>18</v>
      </c>
      <c r="F17" t="s">
        <v>16</v>
      </c>
      <c r="G17" s="17" t="s">
        <v>53</v>
      </c>
      <c r="H17" s="19" t="s">
        <v>45</v>
      </c>
      <c r="I17" s="19" t="s">
        <v>14</v>
      </c>
    </row>
    <row r="18" spans="5:9" ht="91.2">
      <c r="E18" t="s">
        <v>19</v>
      </c>
      <c r="F18" t="s">
        <v>17</v>
      </c>
      <c r="G18" s="19" t="s">
        <v>14</v>
      </c>
      <c r="H18" s="19" t="s">
        <v>16</v>
      </c>
      <c r="I18" s="19" t="s">
        <v>15</v>
      </c>
    </row>
    <row r="19" spans="5:9" ht="91.8">
      <c r="E19" t="s">
        <v>20</v>
      </c>
      <c r="F19" t="s">
        <v>19</v>
      </c>
      <c r="G19" s="19" t="s">
        <v>15</v>
      </c>
      <c r="H19" s="17" t="s">
        <v>17</v>
      </c>
      <c r="I19" s="19" t="s">
        <v>45</v>
      </c>
    </row>
    <row r="20" spans="5:9" ht="61.2">
      <c r="E20" t="s">
        <v>21</v>
      </c>
      <c r="F20" t="s">
        <v>20</v>
      </c>
      <c r="G20" s="19" t="s">
        <v>45</v>
      </c>
      <c r="H20" s="17" t="s">
        <v>46</v>
      </c>
      <c r="I20" s="19" t="s">
        <v>16</v>
      </c>
    </row>
    <row r="21" spans="5:9" ht="182.4">
      <c r="E21" t="s">
        <v>22</v>
      </c>
      <c r="F21" t="s">
        <v>21</v>
      </c>
      <c r="G21" s="19" t="s">
        <v>54</v>
      </c>
      <c r="H21" s="19" t="s">
        <v>19</v>
      </c>
      <c r="I21" s="17" t="s">
        <v>17</v>
      </c>
    </row>
    <row r="22" spans="5:9" ht="409.6">
      <c r="E22" t="s">
        <v>23</v>
      </c>
      <c r="F22" t="s">
        <v>22</v>
      </c>
      <c r="G22" s="19" t="s">
        <v>55</v>
      </c>
      <c r="H22" s="19" t="s">
        <v>47</v>
      </c>
      <c r="I22" s="66" t="s">
        <v>63</v>
      </c>
    </row>
    <row r="23" spans="5:9" ht="136.80000000000001">
      <c r="E23" t="s">
        <v>24</v>
      </c>
      <c r="F23" t="s">
        <v>23</v>
      </c>
      <c r="G23" s="19" t="s">
        <v>56</v>
      </c>
      <c r="H23" s="19" t="s">
        <v>48</v>
      </c>
      <c r="I23" s="66" t="s">
        <v>63</v>
      </c>
    </row>
    <row r="24" spans="5:9" ht="40.799999999999997">
      <c r="E24" t="s">
        <v>25</v>
      </c>
      <c r="F24" t="s">
        <v>24</v>
      </c>
      <c r="G24" s="19" t="s">
        <v>16</v>
      </c>
      <c r="H24" s="17" t="s">
        <v>20</v>
      </c>
      <c r="I24" s="19" t="s">
        <v>19</v>
      </c>
    </row>
    <row r="25" spans="5:9" ht="91.8">
      <c r="E25" t="s">
        <v>26</v>
      </c>
      <c r="F25" t="s">
        <v>25</v>
      </c>
      <c r="G25" s="17" t="s">
        <v>17</v>
      </c>
      <c r="H25" s="19" t="s">
        <v>49</v>
      </c>
      <c r="I25" s="17" t="s">
        <v>20</v>
      </c>
    </row>
    <row r="26" spans="5:9" ht="30.6">
      <c r="E26" t="s">
        <v>27</v>
      </c>
      <c r="F26" t="s">
        <v>36</v>
      </c>
      <c r="G26" s="19" t="s">
        <v>19</v>
      </c>
      <c r="H26" s="17" t="s">
        <v>21</v>
      </c>
      <c r="I26" s="17" t="s">
        <v>21</v>
      </c>
    </row>
    <row r="27" spans="5:9" ht="57">
      <c r="E27" t="s">
        <v>28</v>
      </c>
      <c r="F27" t="s">
        <v>26</v>
      </c>
      <c r="G27" s="19" t="s">
        <v>57</v>
      </c>
      <c r="H27" s="19" t="s">
        <v>22</v>
      </c>
      <c r="I27" s="19" t="s">
        <v>22</v>
      </c>
    </row>
    <row r="28" spans="5:9" ht="91.2">
      <c r="E28" t="s">
        <v>29</v>
      </c>
      <c r="F28" t="s">
        <v>27</v>
      </c>
      <c r="G28" s="19" t="s">
        <v>58</v>
      </c>
      <c r="H28" s="20" t="s">
        <v>23</v>
      </c>
      <c r="I28" s="20" t="s">
        <v>23</v>
      </c>
    </row>
    <row r="29" spans="5:9" ht="68.400000000000006">
      <c r="E29" t="s">
        <v>30</v>
      </c>
      <c r="F29" t="s">
        <v>28</v>
      </c>
      <c r="G29" s="17" t="s">
        <v>20</v>
      </c>
      <c r="H29" s="19" t="s">
        <v>24</v>
      </c>
      <c r="I29" s="19" t="s">
        <v>24</v>
      </c>
    </row>
    <row r="30" spans="5:9" ht="40.799999999999997">
      <c r="E30" t="s">
        <v>31</v>
      </c>
      <c r="F30" t="s">
        <v>37</v>
      </c>
      <c r="G30" s="17" t="s">
        <v>21</v>
      </c>
      <c r="H30" s="17" t="s">
        <v>25</v>
      </c>
      <c r="I30" s="17" t="s">
        <v>25</v>
      </c>
    </row>
    <row r="31" spans="5:9" ht="57">
      <c r="F31" t="s">
        <v>38</v>
      </c>
      <c r="G31" s="19" t="s">
        <v>22</v>
      </c>
      <c r="H31" s="19" t="s">
        <v>26</v>
      </c>
      <c r="I31" s="19" t="s">
        <v>26</v>
      </c>
    </row>
    <row r="32" spans="5:9" ht="91.2">
      <c r="F32" t="s">
        <v>29</v>
      </c>
      <c r="G32" s="20" t="s">
        <v>23</v>
      </c>
      <c r="H32" s="19" t="s">
        <v>27</v>
      </c>
      <c r="I32" s="17" t="s">
        <v>64</v>
      </c>
    </row>
    <row r="33" spans="6:9" ht="68.400000000000006">
      <c r="F33" t="s">
        <v>30</v>
      </c>
      <c r="G33" s="19" t="s">
        <v>24</v>
      </c>
      <c r="I33" s="19" t="s">
        <v>27</v>
      </c>
    </row>
    <row r="34" spans="6:9" ht="81.599999999999994">
      <c r="F34" t="s">
        <v>31</v>
      </c>
      <c r="G34" s="17" t="s">
        <v>25</v>
      </c>
      <c r="I34" s="17" t="s">
        <v>65</v>
      </c>
    </row>
    <row r="35" spans="6:9" ht="91.8">
      <c r="G35" s="19" t="s">
        <v>36</v>
      </c>
      <c r="I35" s="17" t="s">
        <v>66</v>
      </c>
    </row>
    <row r="36" spans="6:9" ht="91.8">
      <c r="G36" s="19" t="s">
        <v>26</v>
      </c>
      <c r="I36" s="17" t="s">
        <v>67</v>
      </c>
    </row>
    <row r="37" spans="6:9" ht="91.8">
      <c r="G37" s="19" t="s">
        <v>27</v>
      </c>
      <c r="I37" s="17" t="s">
        <v>68</v>
      </c>
    </row>
    <row r="38" spans="6:9" ht="114">
      <c r="G38" s="19" t="s">
        <v>28</v>
      </c>
      <c r="I38" s="17" t="s">
        <v>69</v>
      </c>
    </row>
    <row r="39" spans="6:9" ht="68.400000000000006">
      <c r="G39" s="27" t="s">
        <v>38</v>
      </c>
      <c r="I39" s="17" t="s">
        <v>70</v>
      </c>
    </row>
    <row r="40" spans="6:9" ht="68.400000000000006">
      <c r="G40" s="27" t="s">
        <v>38</v>
      </c>
    </row>
    <row r="41" spans="6:9" ht="68.400000000000006">
      <c r="G41" s="27" t="s">
        <v>38</v>
      </c>
    </row>
    <row r="42" spans="6:9" ht="34.200000000000003">
      <c r="G42" s="19" t="s">
        <v>29</v>
      </c>
    </row>
    <row r="43" spans="6:9" ht="34.200000000000003">
      <c r="G43" s="19" t="s">
        <v>30</v>
      </c>
    </row>
    <row r="44" spans="6:9" ht="34.200000000000003">
      <c r="G44" s="19" t="s">
        <v>31</v>
      </c>
    </row>
  </sheetData>
  <sortState xmlns:xlrd2="http://schemas.microsoft.com/office/spreadsheetml/2017/richdata2" ref="I2:I39">
    <sortCondition ref="I2:I39"/>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5</vt:i4>
      </vt:variant>
    </vt:vector>
  </HeadingPairs>
  <TitlesOfParts>
    <vt:vector size="21" baseType="lpstr">
      <vt:lpstr>Filter</vt:lpstr>
      <vt:lpstr>Pivot</vt:lpstr>
      <vt:lpstr>All (2)</vt:lpstr>
      <vt:lpstr>Sheet1</vt:lpstr>
      <vt:lpstr>HOME</vt:lpstr>
      <vt:lpstr>Dijagnoza</vt:lpstr>
      <vt:lpstr>Predskolska</vt:lpstr>
      <vt:lpstr>Skolska</vt:lpstr>
      <vt:lpstr>Radni vijek</vt:lpstr>
      <vt:lpstr>Treca dob</vt:lpstr>
      <vt:lpstr>Dashboard</vt:lpstr>
      <vt:lpstr>Neinstitucionalizirana prava</vt:lpstr>
      <vt:lpstr>Administrativni postupci</vt:lpstr>
      <vt:lpstr>Diskrecione usluge</vt:lpstr>
      <vt:lpstr>All</vt:lpstr>
      <vt:lpstr>Sheet2</vt:lpstr>
      <vt:lpstr>All</vt:lpstr>
      <vt:lpstr>dob</vt:lpstr>
      <vt:lpstr>Novorodjence</vt:lpstr>
      <vt:lpstr>Postupci</vt:lpstr>
      <vt:lpstr>Zivotna_dob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Amra Kapo</dc:creator>
  <cp:keywords/>
  <dc:description/>
  <cp:lastModifiedBy>Anes Golubić</cp:lastModifiedBy>
  <cp:revision/>
  <dcterms:created xsi:type="dcterms:W3CDTF">2023-10-08T19:42:13Z</dcterms:created>
  <dcterms:modified xsi:type="dcterms:W3CDTF">2023-12-10T19:56:36Z</dcterms:modified>
  <cp:category/>
  <cp:contentStatus/>
</cp:coreProperties>
</file>
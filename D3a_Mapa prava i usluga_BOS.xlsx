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7326E196-C9AD-402E-AB7A-7D5A76A96614}" xr6:coauthVersionLast="47" xr6:coauthVersionMax="47" xr10:uidLastSave="{00000000-0000-0000-0000-000000000000}"/>
  <bookViews>
    <workbookView xWindow="624" yWindow="624" windowWidth="17808" windowHeight="11136" tabRatio="975" firstSheet="6" activeTab="13" xr2:uid="{6DCFD875-645F-4B85-AAFB-14BA6F769E6A}"/>
  </bookViews>
  <sheets>
    <sheet name="Filter" sheetId="14" state="hidden" r:id="rId1"/>
    <sheet name="Pivot" sheetId="18" state="hidden" r:id="rId2"/>
    <sheet name="All (2)" sheetId="17" state="hidden" r:id="rId3"/>
    <sheet name="Sheet1" sheetId="25" r:id="rId4"/>
    <sheet name="HOME" sheetId="6" r:id="rId5"/>
    <sheet name="Dijagnoza" sheetId="24" r:id="rId6"/>
    <sheet name="Predskolska" sheetId="8" r:id="rId7"/>
    <sheet name="Skolska" sheetId="9" r:id="rId8"/>
    <sheet name="Radni vijek" sheetId="11" r:id="rId9"/>
    <sheet name="Treca dob" sheetId="12" r:id="rId10"/>
    <sheet name="Dashboard" sheetId="3" state="hidden" r:id="rId11"/>
    <sheet name="Neinstitucionalizirana prava" sheetId="13" r:id="rId12"/>
    <sheet name="Administrativni postupci" sheetId="1" r:id="rId13"/>
    <sheet name="Diskrecione usluge" sheetId="5" r:id="rId14"/>
    <sheet name="All" sheetId="15" state="hidden" r:id="rId15"/>
    <sheet name="Sheet2" sheetId="2" state="hidden" r:id="rId16"/>
  </sheets>
  <externalReferences>
    <externalReference r:id="rId17"/>
  </externalReferences>
  <definedNames>
    <definedName name="_xlnm._FilterDatabase" localSheetId="12" hidden="1">'Administrativni postupci'!$A$1:$Q$31</definedName>
    <definedName name="_xlnm._FilterDatabase" localSheetId="14" hidden="1">All!$A$1:$P$64</definedName>
    <definedName name="_xlnm._FilterDatabase" localSheetId="2" hidden="1">'All (2)'!$A$1:$P$175</definedName>
    <definedName name="_xlnm._FilterDatabase" localSheetId="13" hidden="1">'Diskrecione usluge'!$O$1:$O$26</definedName>
    <definedName name="All" localSheetId="3">[1]All!$B$35:$P$54</definedName>
    <definedName name="All">All!$B$35:$P$54</definedName>
    <definedName name="Ambulanta__Sve_na_jednom_mjestu__za_djecu_i_osobe_s_poteškoćama_u_razvoju" localSheetId="3">[1]Sheet2!$E$2:INDEX([1]Sheet2!$E:$E,COUNTA([1]Sheet2!$E:$E))</definedName>
    <definedName name="Ambulanta__Sve_na_jednom_mjestu__za_djecu_i_osobe_s_poteškoćama_u_razvoju">Sheet2!$E$2:INDEX(Sheet2!$E:$E,COUNTA(Sheet2!$E:$E))</definedName>
    <definedName name="dob">Sheet2!$D$2:$D$8</definedName>
    <definedName name="N" localSheetId="3">OFFSET([1]Sheet2!$E$2, 0, 0, COUNTA([1]Sheet2!$E:$E), 1)</definedName>
    <definedName name="N">OFFSET(Sheet2!$E$2, 0, 0, COUNTA(Sheet2!$E:$E), 1)</definedName>
    <definedName name="Novorodjence">Sheet2!$E$2:$E$32</definedName>
    <definedName name="Postupci">'Administrativni postupci'!$B$2:$B$45</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19"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1" i="5" l="1"/>
  <c r="P21" i="5"/>
  <c r="O22" i="5"/>
  <c r="P22" i="5"/>
  <c r="O20" i="5"/>
  <c r="P20" i="5"/>
  <c r="P19" i="5"/>
  <c r="O19" i="5"/>
  <c r="O3" i="5"/>
  <c r="P3" i="5"/>
  <c r="O4" i="5"/>
  <c r="P4" i="5"/>
  <c r="O5" i="5"/>
  <c r="P5" i="5"/>
  <c r="O6" i="5"/>
  <c r="P6" i="5"/>
  <c r="O7" i="5"/>
  <c r="P7" i="5"/>
  <c r="O8" i="5"/>
  <c r="P8" i="5"/>
  <c r="O9" i="5"/>
  <c r="P9" i="5"/>
  <c r="O10" i="5"/>
  <c r="P10" i="5"/>
  <c r="O11" i="5"/>
  <c r="P11" i="5"/>
  <c r="O12" i="5"/>
  <c r="P12" i="5"/>
  <c r="O13" i="5"/>
  <c r="P13" i="5"/>
  <c r="O14" i="5"/>
  <c r="P14" i="5"/>
  <c r="O15" i="5"/>
  <c r="P15" i="5"/>
  <c r="O16" i="5"/>
  <c r="P16" i="5"/>
  <c r="O17" i="5"/>
  <c r="P17" i="5"/>
  <c r="O18" i="5"/>
  <c r="P18" i="5"/>
  <c r="P2" i="5"/>
  <c r="O2" i="5"/>
  <c r="R33" i="1"/>
  <c r="S33" i="1"/>
  <c r="S32" i="1"/>
  <c r="R32" i="1"/>
  <c r="R3" i="1"/>
  <c r="S3" i="1"/>
  <c r="R4" i="1"/>
  <c r="S4" i="1"/>
  <c r="R5" i="1"/>
  <c r="S5" i="1"/>
  <c r="R6" i="1"/>
  <c r="S6" i="1"/>
  <c r="R7" i="1"/>
  <c r="S7" i="1"/>
  <c r="R8" i="1"/>
  <c r="S8" i="1"/>
  <c r="R9" i="1"/>
  <c r="S9" i="1"/>
  <c r="R10" i="1"/>
  <c r="S10" i="1"/>
  <c r="R11" i="1"/>
  <c r="S11" i="1"/>
  <c r="R12" i="1"/>
  <c r="S12" i="1"/>
  <c r="R13" i="1"/>
  <c r="S13" i="1"/>
  <c r="R14" i="1"/>
  <c r="S14" i="1"/>
  <c r="R15" i="1"/>
  <c r="S15" i="1"/>
  <c r="R16" i="1"/>
  <c r="S16" i="1"/>
  <c r="R17" i="1"/>
  <c r="S17" i="1"/>
  <c r="R18" i="1"/>
  <c r="S18" i="1"/>
  <c r="R19" i="1"/>
  <c r="S19" i="1"/>
  <c r="R20" i="1"/>
  <c r="S20" i="1"/>
  <c r="R21" i="1"/>
  <c r="S21" i="1"/>
  <c r="R22" i="1"/>
  <c r="S22" i="1"/>
  <c r="R23" i="1"/>
  <c r="S23" i="1"/>
  <c r="R24" i="1"/>
  <c r="S24" i="1"/>
  <c r="R25" i="1"/>
  <c r="S25" i="1"/>
  <c r="R26" i="1"/>
  <c r="S26" i="1"/>
  <c r="R27" i="1"/>
  <c r="S27" i="1"/>
  <c r="R28" i="1"/>
  <c r="S28" i="1"/>
  <c r="R29" i="1"/>
  <c r="S29" i="1"/>
  <c r="R30" i="1"/>
  <c r="S30" i="1"/>
  <c r="R31" i="1"/>
  <c r="S31" i="1"/>
  <c r="S2" i="1"/>
  <c r="R2" i="1"/>
  <c r="H3" i="25"/>
  <c r="H4" i="25"/>
  <c r="H5" i="25"/>
  <c r="H6" i="25"/>
  <c r="H7" i="25"/>
  <c r="H8" i="25"/>
  <c r="H9" i="25"/>
  <c r="H10" i="25"/>
  <c r="H11" i="25"/>
  <c r="H12" i="25"/>
  <c r="H13" i="25"/>
  <c r="H14" i="25"/>
  <c r="H15" i="25"/>
  <c r="H16" i="25"/>
  <c r="H17" i="25"/>
  <c r="H18" i="25"/>
  <c r="H19" i="25"/>
  <c r="H20" i="25"/>
  <c r="H21" i="25"/>
  <c r="H22" i="25"/>
  <c r="H2" i="25"/>
  <c r="F16" i="8" l="1"/>
  <c r="E16" i="8"/>
  <c r="H14" i="8"/>
  <c r="G14" i="8"/>
  <c r="F14" i="8"/>
  <c r="E14" i="8"/>
  <c r="H12" i="8"/>
  <c r="G12" i="8"/>
  <c r="F12" i="8"/>
  <c r="E12" i="8"/>
  <c r="F16" i="12"/>
  <c r="E16" i="12"/>
  <c r="H14" i="12"/>
  <c r="G14" i="12"/>
  <c r="F14" i="12"/>
  <c r="E14" i="12"/>
  <c r="H12" i="12"/>
  <c r="G12" i="12"/>
  <c r="F12" i="12"/>
  <c r="E12" i="12"/>
  <c r="F16" i="11"/>
  <c r="E16" i="11"/>
  <c r="H14" i="11"/>
  <c r="G14" i="11"/>
  <c r="F14" i="11"/>
  <c r="E14" i="11"/>
  <c r="H12" i="11"/>
  <c r="G12" i="11"/>
  <c r="F12" i="11"/>
  <c r="E12" i="11"/>
  <c r="F16" i="9"/>
  <c r="E16" i="9"/>
  <c r="H14" i="9"/>
  <c r="O1" i="14" a="1"/>
  <c r="O1" i="14" s="1"/>
  <c r="N1" i="14" a="1"/>
  <c r="N1" i="14" s="1"/>
  <c r="M1" i="14" a="1"/>
  <c r="M1" i="14" s="1"/>
  <c r="L1" i="14" a="1"/>
  <c r="L1" i="14" s="1"/>
  <c r="K1" i="14" a="1"/>
  <c r="K1" i="14" s="1"/>
  <c r="J1" i="14" a="1"/>
  <c r="J1" i="14" s="1"/>
  <c r="I1" i="14" a="1"/>
  <c r="I1" i="14" s="1"/>
  <c r="H1" i="14" a="1"/>
  <c r="H1" i="14" s="1"/>
  <c r="G1" i="14" a="1"/>
  <c r="G1" i="14" s="1"/>
  <c r="F1" i="14" a="1"/>
  <c r="F1" i="14" s="1"/>
  <c r="E1" i="14" a="1"/>
  <c r="E1" i="14" s="1"/>
  <c r="D1" i="14" a="1"/>
  <c r="D1" i="14" s="1"/>
  <c r="G14" i="9"/>
  <c r="F14" i="9"/>
  <c r="E14" i="9"/>
  <c r="H12" i="9"/>
  <c r="G12" i="9"/>
  <c r="F12" i="9"/>
  <c r="E12" i="9"/>
  <c r="C8" i="3"/>
  <c r="C1" i="14" l="1"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tc={0AD44763-B4DF-4D57-B80A-5FB71860E92F}</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6"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17" authorId="3" shapeId="0" xr:uid="{0AD44763-B4DF-4D57-B80A-5FB71860E92F}">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29" authorId="4"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<sst xmlns="http://schemas.openxmlformats.org/spreadsheetml/2006/main" count="3609" uniqueCount="562">
  <si>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</si>
  <si>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</si>
  <si>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</si>
  <si>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</si>
  <si>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</si>
  <si>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</si>
  <si>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</si>
  <si>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</si>
  <si>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</si>
  <si>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</si>
  <si>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</si>
  <si>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</si>
  <si>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</si>
  <si>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</si>
  <si>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</si>
  <si>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</si>
  <si>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</si>
  <si>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</si>
  <si>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</si>
  <si>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</si>
  <si>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</si>
  <si>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</si>
  <si>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</si>
  <si>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</si>
  <si>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</si>
  <si>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</si>
  <si>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</si>
  <si>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</si>
  <si>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</si>
  <si>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</si>
  <si>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</si>
  <si>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</si>
  <si>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</si>
  <si>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</si>
  <si>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</si>
  <si>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</si>
  <si>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</si>
  <si>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</si>
  <si>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</si>
  <si>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</si>
  <si>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</si>
  <si>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</si>
  <si>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</si>
  <si>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</si>
  <si>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</si>
  <si>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</si>
  <si>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</si>
  <si>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</si>
  <si>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</si>
  <si>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</si>
  <si>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</si>
  <si>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</si>
  <si>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</si>
  <si>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</si>
  <si>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</si>
  <si>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</si>
  <si>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</si>
  <si>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</si>
  <si>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</si>
  <si>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</si>
  <si>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</si>
  <si>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</si>
  <si>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</si>
  <si>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</si>
  <si>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</si>
  <si>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</si>
  <si>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</si>
  <si>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</si>
  <si>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</si>
  <si>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</si>
  <si>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</si>
  <si>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</si>
  <si>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</si>
  <si>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</si>
  <si>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</si>
  <si>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</si>
  <si>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</si>
  <si>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</si>
  <si>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</si>
  <si>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</si>
  <si>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</si>
  <si>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</si>
  <si>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</si>
  <si>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</si>
  <si>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</si>
  <si>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</si>
  <si>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</si>
  <si>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</si>
  <si>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</si>
  <si>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</si>
  <si>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</si>
  <si>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</si>
  <si>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</si>
  <si>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</si>
  <si>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</si>
  <si>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</si>
  <si>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</si>
  <si>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</si>
  <si>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</si>
  <si>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</si>
  <si>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</si>
  <si>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</si>
  <si>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</si>
  <si>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</si>
  <si>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</si>
  <si>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</si>
  <si>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</si>
  <si>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</si>
  <si>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</si>
  <si>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</si>
  <si>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</si>
  <si>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</si>
  <si>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</si>
  <si>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</si>
  <si>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</si>
  <si>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</si>
  <si>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</si>
  <si>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</si>
  <si>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</si>
  <si>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</si>
  <si>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</si>
  <si>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</si>
  <si>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</si>
  <si>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</si>
  <si>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</si>
  <si>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</si>
  <si>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</si>
  <si>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</si>
  <si>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</si>
  <si>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</si>
  <si>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</si>
  <si>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</si>
  <si>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</si>
  <si>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</si>
  <si>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</si>
  <si>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</si>
  <si>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</si>
  <si>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</si>
  <si>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</si>
  <si>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</si>
  <si>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</si>
  <si>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</si>
  <si>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</si>
  <si>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</si>
  <si>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</si>
  <si>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</si>
  <si>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</si>
  <si>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</si>
  <si>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</si>
  <si>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</si>
  <si>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</si>
  <si>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</si>
  <si>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</si>
  <si>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</si>
  <si>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</si>
  <si>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</si>
  <si>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</si>
  <si>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</si>
  <si>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</si>
  <si>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</si>
  <si>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</si>
  <si>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</si>
  <si>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</si>
  <si>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</si>
  <si>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</si>
  <si>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</si>
  <si>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</si>
  <si>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</si>
  <si>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</si>
  <si>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</si>
  <si>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</si>
  <si>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</si>
  <si>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</si>
  <si>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</si>
  <si>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</si>
  <si>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</si>
  <si>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</si>
  <si>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</si>
  <si>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</si>
  <si>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</si>
  <si>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</si>
  <si>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</si>
  <si>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</si>
  <si>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</si>
  <si>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</si>
  <si>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</si>
  <si>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</si>
  <si>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</si>
  <si>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</si>
  <si>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</si>
  <si>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</si>
  <si>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</si>
  <si>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</si>
  <si>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</si>
  <si>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</si>
  <si>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</si>
  <si>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</si>
  <si>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</si>
  <si>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</si>
  <si>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</si>
  <si>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</si>
  <si>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</si>
  <si>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</si>
  <si>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</si>
  <si>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</si>
  <si>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</si>
  <si>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</si>
  <si>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</si>
  <si>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</si>
  <si>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</si>
  <si>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</si>
  <si>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</si>
  <si>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</si>
  <si>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</si>
  <si>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</si>
  <si>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</si>
  <si>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</si>
  <si>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</si>
  <si>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</si>
  <si>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</si>
  <si>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</si>
  <si>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</si>
  <si>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</si>
  <si>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</si>
  <si>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</si>
  <si>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</si>
  <si>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</si>
  <si>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</si>
  <si>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</si>
  <si>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</si>
  <si>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</si>
  <si>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</si>
  <si>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</si>
  <si>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</si>
  <si>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</si>
  <si>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</si>
  <si>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</si>
  <si>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</si>
  <si>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</si>
  <si>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</si>
  <si>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</si>
  <si>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</si>
  <si>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</si>
  <si>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</si>
  <si>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</si>
  <si>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</si>
  <si>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</si>
  <si>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</si>
  <si>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</si>
  <si>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</si>
  <si>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</si>
  <si>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</si>
  <si>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</si>
  <si>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</si>
  <si>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</si>
  <si>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</si>
  <si>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</si>
  <si>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</si>
  <si>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</si>
  <si>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</si>
  <si>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</si>
  <si>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</si>
  <si>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</si>
  <si>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</si>
  <si>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</si>
  <si>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</si>
  <si>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</si>
  <si>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</si>
  <si>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</si>
  <si>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</si>
  <si>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</si>
  <si>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</si>
  <si>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</si>
  <si>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</si>
  <si>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</si>
  <si>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</si>
  <si>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</si>
  <si>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</si>
  <si>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</si>
  <si>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</si>
  <si>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</si>
  <si>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</si>
  <si>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</si>
  <si>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</si>
  <si>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</si>
  <si>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</si>
  <si>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</si>
  <si>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</si>
  <si>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</si>
  <si>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</si>
  <si>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</si>
  <si>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</si>
  <si>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</si>
  <si>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</si>
  <si>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</si>
  <si>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</si>
  <si>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</si>
  <si>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</si>
  <si>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</si>
  <si>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</si>
  <si>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</si>
  <si>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</si>
  <si>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</si>
  <si>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</si>
  <si>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</si>
  <si>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</si>
  <si>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</si>
  <si>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</si>
  <si>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</si>
  <si>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</si>
  <si>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</si>
  <si>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</si>
  <si>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</si>
  <si>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</si>
  <si>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</si>
  <si>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</si>
  <si>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</si>
  <si>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</si>
  <si>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</si>
  <si>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</si>
  <si>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</si>
  <si>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</si>
  <si>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</si>
  <si>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</si>
  <si>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</si>
  <si>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</si>
  <si>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</si>
  <si>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</si>
  <si>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</si>
  <si>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</si>
  <si>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</si>
  <si>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</si>
  <si>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</si>
  <si>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</si>
  <si>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</si>
  <si>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</si>
  <si>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</si>
  <si>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</si>
  <si>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</si>
  <si>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</si>
  <si>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</si>
  <si>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</si>
  <si>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</si>
  <si>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</si>
  <si>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</si>
  <si>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</si>
  <si>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</si>
  <si>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</si>
  <si>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</si>
  <si>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</si>
  <si>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</si>
  <si>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</si>
  <si>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</si>
  <si>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</si>
  <si>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</si>
  <si>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</si>
  <si>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</si>
  <si>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</si>
  <si>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</si>
  <si>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</si>
  <si>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</si>
  <si>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Umanjenje poreza na dohodak za zaposlene</t>
  </si>
  <si>
    <t xml:space="preserve">PwD and Elderly </t>
  </si>
  <si>
    <t>Ministarstvo/organizacija</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</si>
  <si>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</si>
  <si>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</si>
  <si>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</si>
  <si>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</si>
  <si>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</si>
  <si>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</si>
  <si>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</si>
  <si>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</si>
  <si>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</si>
  <si>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</si>
  <si>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</si>
  <si>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</si>
  <si>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</si>
  <si>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</si>
  <si>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</si>
  <si>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</si>
  <si>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</si>
  <si>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</si>
  <si>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</si>
  <si>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</si>
  <si>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</si>
  <si>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</si>
  <si>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</si>
  <si>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</si>
  <si>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</si>
  <si>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</si>
  <si>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</si>
  <si>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Djeca</t>
  </si>
  <si>
    <t>Novorođenče, predškolska dob, školska dob</t>
  </si>
  <si>
    <t>Kantonalni centar za socijalni rad - preko općinskih službi (općina prema mjestu prebivališta)</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</si>
  <si>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</si>
  <si>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</si>
  <si>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</si>
  <si>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</si>
  <si>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</si>
  <si>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</si>
  <si>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</si>
  <si>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</si>
  <si>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</si>
  <si>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</si>
  <si>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</si>
  <si>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Godišnja revizija, naknada se isplaćije mjesečno</t>
  </si>
  <si>
    <t>Korisnici</t>
  </si>
  <si>
    <t>Pravni okvir</t>
  </si>
  <si>
    <t>Novorođenče; Predškolska dob; Školska dob; Radni vijek; Treća životna dob</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</si>
  <si>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</si>
  <si>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</si>
  <si>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</si>
  <si>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</si>
  <si>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</si>
  <si>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</si>
  <si>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</si>
  <si>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</si>
  <si>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</si>
  <si>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</si>
  <si>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</si>
  <si>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</si>
  <si>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</si>
  <si>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</si>
  <si>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</si>
  <si>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Pojašnjenje (Član)</t>
  </si>
  <si>
    <t>Zakon o socijalnoj zaštiti, zaštiti civilnih žrtava rata i zaštiti porodice sa djecom</t>
  </si>
  <si>
    <t>Novorođenče; Predškolska dob; Školska dob; Radni vijek;</t>
  </si>
  <si>
    <t>Zakon o penzijskom i invalidskom osiguranju</t>
  </si>
  <si>
    <t>Zakon o radu Federacije BiH</t>
  </si>
  <si>
    <t>Zakon o profesionalnoj rehabilitaciji, osposobljavanju i zapošljavanju osoba s invaliditetom Federacije BiH</t>
  </si>
  <si>
    <t>Zakon o roditeljima njegovateljima u Federaciji Bosne i Hercegovine</t>
  </si>
  <si>
    <t>Radni vijek; Treća životna dob</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</si>
  <si>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</si>
  <si>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</si>
  <si>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</si>
  <si>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</si>
  <si>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</si>
  <si>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</si>
  <si>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</si>
  <si>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</si>
  <si>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</si>
  <si>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</si>
  <si>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</si>
  <si>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</si>
  <si>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</si>
  <si>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</si>
  <si>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</si>
  <si>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</si>
  <si>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</si>
  <si>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</si>
  <si>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</si>
  <si>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</si>
  <si>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</si>
  <si>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</si>
  <si>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</si>
  <si>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</si>
  <si>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</si>
  <si>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</si>
  <si>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</si>
  <si>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</si>
  <si>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</si>
  <si>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</si>
  <si>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</si>
  <si>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</si>
  <si>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Radni vijek; treća životna dob</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</si>
  <si>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</si>
  <si>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Predškolska dob; školska dob</t>
  </si>
  <si>
    <t>Medicinska sredstva - ortopedska pomagala (npr. invalidska kolica, pelene, GPS narukvice za djecu, perike od prirodne kose za djecu, senzori, inzulinske pumpice)</t>
  </si>
  <si>
    <t>Posebni programi za osobe oboljele od teških i rijetkih bolesti (npr. enteralna prehrana za djecu i odrasle, bezglutensko brašno za osobe oboljele od celijakije)</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</si>
  <si>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</si>
  <si>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Pravo na dnevni boravak u posebnim ustanovama ili smještaj u domovima tokom obrazovanja. Potpuno pokriće troškova dnevnog boravka od strane Centra</t>
  </si>
  <si>
    <t>Osobe sa invaliditetom i poteškoćama u razvoju</t>
  </si>
  <si>
    <t xml:space="preserve">Teška oboljela lica sa područja općine Ilidža sa preporukom za liječenje od nadležnog vijeća ljekara zdravstvenih ustanova.
</t>
  </si>
  <si>
    <t xml:space="preserve">Jednokratna novčana pomoć za teško bolesne osobe </t>
  </si>
  <si>
    <t>Osebe sa invaliditetom i poteškoćama u razvoju</t>
  </si>
  <si>
    <t>Pravo na invalidsku penziju/mirovinu</t>
  </si>
  <si>
    <t>Roditelji djeteta s težim smetnjama u razvoju imaju pravo na rad polovine punog radnog vremena uz naknadu plaće, te su zaštićeni od rada noću, prekovremenog rada i promjene mjesta rada bez svog pisanog pristanka kako bi se omogućila bolja briga i podrška djetetu.</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</si>
  <si>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Pravo na penziju se stiče ukoliko osiguranik ima određeni penzijski staž, obično najmanje jednu trećinu radnog vijeka od 20 godina starosti do nastanka invalidnosti.
Osiguranici koji postanu invalidi pre 30. godine starosti moraju imati najmanje jednu godinu staža osiguranja.
Za osiguranike koji su tokom školovanja stekli visoku ili višu stručnu spremu, radni vijek se računa od 22, odnosno 25 godina starosti.</t>
    </r>
  </si>
  <si>
    <t>Penziono osiguranje</t>
  </si>
  <si>
    <t>https://www.fzmiopio.ba/wp-content/uploads/2022/11/invalidska_bos.pdf</t>
  </si>
  <si>
    <t>Pravo roditelja/staratelja njegovatelja na osiguranje</t>
  </si>
  <si>
    <t>Pravo roditelja/staratelja njegovatelja na pokrivanje troškova sahrane/dženaze</t>
  </si>
  <si>
    <t>Zakon o penzijskom i invalidskom osiguranju Federacije BiH ("Službene novine FBiH", br. 13/2018 i 93/2019 - odluka Ustavnog suda 90/2021 i 90/2021 i 19/2022)):
Član 58:
Pravo na invalidsku penziju stiče osiguranik s I. kategorijom invalidnosti.
Uzrok invalidnosti može biti povreda na radu ili profesionalna bolest (bez uslova o dužini staža) ili povreda van rada/bolest (uz uslov da osiguranik ima određeni staž).
Posebni uslovi za osiguranike koji invalidnost steknu pre 30. godine.
Član 59:
O pravu na penziju odlučuje nosilac osiguranja na osnovu nalaza Instituta.
Član 60:
Invalidska penzija se određuje isto kao i starosna penzija.</t>
  </si>
  <si>
    <t>Federalni zavod za penzijsko i invalidsko osiguranje</t>
  </si>
  <si>
    <t>Ložionička 2, Sarajevo 71000</t>
  </si>
  <si>
    <t>https://www.fzmiopio.ba/?lang=ba</t>
  </si>
  <si>
    <t>033 723-100</t>
  </si>
  <si>
    <r>
      <t xml:space="preserve">Roditelji staratelji imaju isti status osiguranja kao i zaposleni pojedinci. </t>
    </r>
    <r>
      <rPr>
        <i/>
        <sz val="8"/>
        <color rgb="FF374151"/>
        <rFont val="Segoe UI"/>
        <family val="2"/>
      </rPr>
      <t>Status roditelja njegovatelja priznaje se jednom od roditelja lica s invaliditetom sa 100% oštećenjem organizma i pravom na dodatak za njegu i pomoć od drugog lica.</t>
    </r>
  </si>
  <si>
    <t>sonja.toholj@fzmiopio.ba</t>
  </si>
  <si>
    <r>
      <t xml:space="preserve">Roditelji staratelji dobijaju novac za troškove sahrane za preminulu osobu sa invaliditetom, slično kao i federalni službenici.
Roditelju lica s invaliditetom može se priznati status roditelja njegovatelja ukoliko je nazaposlen i prijavljen na evidenciji nadležne službe za zapošljavanje. </t>
    </r>
    <r>
      <rPr>
        <i/>
        <sz val="8"/>
        <color rgb="FF374151"/>
        <rFont val="Segoe UI"/>
        <family val="2"/>
      </rPr>
      <t>Status roditelja njegovatelja priznaje se jednom od roditelja lica s invaliditetom sa 100% oštećenjem organizma i pravom na dodatak za njegu i pomoć od drugog lica.</t>
    </r>
  </si>
  <si>
    <t xml:space="preserve">Osobe sa invaliditetom imaju prednost u svim zdravstvenim ustanovama, bez čekanja u redu, a nakon informisanja zdravstvenog osoblja i ostalih u čekaonici. </t>
  </si>
  <si>
    <t>Pravo na invalidsku penziju/mirovinu za policijske službenike</t>
  </si>
  <si>
    <t xml:space="preserve">https://www.fzmiopio.ba/wp-content/uploads/2022/06/dizb-1.pdf
Obrazac / Tiskanica Z-1 (zahtjev za ostvarivanje prava).
Zaključena radna knjižica (ako je posjeduje).
Rješenje o prestanku radnog odnosa.
Potvrda ili Uvjerenje od poslodavca da ne raspolaže s podacima o nedostajućim plaćama osiguranika (ako nisu registrirane u bazama matične evidencije aktivnih osiguranika FZ PIO/MIO).
Uvjerenje od Porezne Uprave.
Uvjerenje o državljanstvu (za primjenu međunarodnog ugovora).
Izvod iz matične knjige rođenih.
Uvjerenje o prebivalištu.
Dokaz od nadležnog ministarstva o učešću u odbrani/obrani BiH.
Izjava da podnosilac zahtjeva nije u radnom odnosu.
Izjava o utvrđivanju godišnjeg ličnog/osobnog koeficijenta.
Saglasnost o posebnom stažu.
Dokaz o navršenom stažu u inostranstvu/inozemstvu.
Nalaz, ocjenu i mišljenje o radnoj sposobnosti.
Podaci za isplatu penzije/mirovine.
Dodatni podaci za korisnike koji podnose zahtjev za penziju/mirovinu primjenom međunarodnog Ugovora o socijalnom osiguranju.
Izjava da podnosilac zahtjeva nije osuđen za krivično/kazneno djelo ratnog zločina, ukoliko je bio pripadnik/ica Oružanih snaga​​​​.
</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</si>
  <si>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Institut za preduzniverzitetsko obrazovanje, u skladu sa propisom koji donosi ministar.</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</si>
  <si>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xml:space="preserve">: Pravo na penziju se stiče ukoliko osiguranik ima određeni penzijski staž, obično najmanje jednu trećinu radnog vijeka od 20 godina starosti do nastanka invalidnosti. 
Policijskog službenika koji usljed zadobijenih povreda na radu uzrokovanih neposrednim izvršenjem službenih poslova i zadataka bude proglašen invalidom 1. kategorije.
</t>
    </r>
  </si>
  <si>
    <t>Zakon o penzijskom i invalidskom osiguranju Federacije BiH ("Službene novine FBiH", br. 13/2018 i 93/2019 - odluka Ustavnog suda 90/2021 i 90/2021 i 19/2022)):
Zakonu o policijskim službenicima Federacije Bosne i Hercegovine</t>
  </si>
  <si>
    <t>https://www.fzmiopio.ba/wp-content/uploads/2022/06/dizpsb-1.pdf</t>
  </si>
  <si>
    <t>https://www.fzmiopio.ba/wp-content/uploads/2022/11/inavlidska_policija_bos.pdf</t>
  </si>
  <si>
    <t>https://www.fzmiopio.ba/wp-content/uploads/2022/06/dntb.pdf</t>
  </si>
  <si>
    <t>https://www.fzmiopio.ba/wp-content/uploads/2022/11/tjelesno_bos.pdf</t>
  </si>
  <si>
    <t xml:space="preserve">Logopedi, defektolozi po potrebi za djecu sa poteškoćama u razvoju, kao i za tipičnu djecu ukoliko postoji potreba za ispravljanjem npr. govora. </t>
  </si>
  <si>
    <t>Definicija fizičke onesposobljenosti: Fizička onesposobljenost uključuje gubitak, ozbiljnu povredu ili značajnu onesposobljenost organa ili dijelova tijela, što utječe na prirodnu aktivnost organizma i zahtijeva veći napor za zadovoljavanje životnih potreba. Ne bitno je li ovakvo stanje prouzrokovalo invalidnost ili ne.
Pravo na novčanu naknadu: Osiguranici s fizičkom onesposobljenošću od najmanje 30% nastalom kao rezultat povrede na radu ili bolesti uzrokovane radom imaju pravo na novčanu naknadu.
Vrste i procenti onesposobljenosti: Vrste i procenti fizičke onesposobljenosti koji omogućavaju pravo na naknadu utvrđuju se zakonom.
Osnov za naknadu: Osnov za novčanu naknadu je najniži iznos penzije utvrđen zakonom.
Iznos naknade: Novčana naknada se utvrđuje prema procentu fizičke onesposobljenosti i izražava se kao procent od osnova, sa skalom od 18% do 60% u zavisnosti od stepena onesposobljenosti.
Vrijeme za pravo na naknadu: Pravo na naknadu postoji od momenta nastupanja fizičke onesposobljenosti, ako se zahtjev podnese u roku od tri mjeseca od nastupanja onesposobljenosti. Ako je zahtjev podnesen kasnije, pravo na naknadu postoji od prvog dana u mjesecu nakon podnošenja zahtjeva, uz retrospektivu za tri mjeseca.
Izbor između dvije naknade: Ako osiguranik ima pravo na naknadu i po više zakona ili propisa za isti slučaj fizičke onesposobljenosti, može izabrati koji osnov za naknadu će koristiti.</t>
  </si>
  <si>
    <t>Naknada za fizičku onesposobljenost kao rezultat rada</t>
  </si>
  <si>
    <t xml:space="preserve">Zakon o penzijskom i invalidskom osiguranju Federacije BiH ("Službene novine FBiH", br. 13/2018 i 93/2019 - odluka Ustavnog suda 90/2021 i 90/2021 i 19/2022)):
Poglavlje iv. Novčana naknada za fizičku onesposobljenost
</t>
  </si>
  <si>
    <t>Stanovnici opštine Ilidža stariji od 80 godina</t>
  </si>
  <si>
    <t>Jednokratna novčana pomoć koja se godišnje dodjeljuje svim stanovnicima opštine Ilidža starijim od 80 godina. Iznos zavisi od raspoloživosti sredstava u budžetu.</t>
  </si>
  <si>
    <t>Osigurane osobe ostvaruju pravo na enteralnu prehranu pod uslovima : a) 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</si>
  <si>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Nadležna općina</t>
  </si>
  <si>
    <t>Nadležni dom zdravlja</t>
  </si>
  <si>
    <t>Poreska uprava nadležne općine</t>
  </si>
  <si>
    <t>Ministarstvo unutrašnjih poslova - Uprava za građanska stanja i pravne poslove</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</si>
  <si>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</si>
  <si>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</si>
  <si>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t>
  </si>
  <si>
    <t xml:space="preserve">ZA OVAJ POSTUPAK DODATI SVE POTREBNE KOPIJE DOKUMENATA </t>
  </si>
  <si>
    <t>Ostvarivanje prava od strane lica-korisnika stalne novčane pomoći i lica sa invaliditetom pravo na zdravstvenu zaštitu (pod uslovom da ga ne mogu ostvariti po drugom osnovu).</t>
  </si>
  <si>
    <t xml:space="preserve">Pravo na zdravstvenu zaštitu </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</si>
  <si>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</si>
  <si>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</si>
  <si>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</si>
  <si>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Kokazi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</si>
  <si>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Izdavanje međunarodnog znaka pristupačnosti </t>
  </si>
  <si>
    <t xml:space="preserve">Prednost u primanju usluga u zdravstvenom i drugim institucijama </t>
  </si>
  <si>
    <t>Slijepa osoba i njen pratilac imaju pravo na povlaštenu vožnju u željezničkom saobraćaju u Federaciji
BiH u iznosu 50% od redovne cijene karte za I i II razred svih vrsta vozova. 
Broj vožnji nije ograničen.
Pratilac ima pravo na povlaštenu vožnju samo kad je sa slijepom osobom.</t>
  </si>
  <si>
    <t>Željeznice FBiH</t>
  </si>
  <si>
    <t>Musala 2, Sarajevo</t>
  </si>
  <si>
    <t>http://www.sluzbenilist.ba/page/akt/lbKAkKGaEwg=
– Odlukom nadzornog odbora Željeznica BiH</t>
  </si>
  <si>
    <t>Ovo pravo se može ostvariti na osnovu članske karte koju izdaje Udruženje slijepih Kantona Sarajevo.</t>
  </si>
  <si>
    <t>kabinet@zfbh.ba</t>
  </si>
  <si>
    <t>033 251-120</t>
  </si>
  <si>
    <t>https://www.zfbh.ba/kontakt/</t>
  </si>
  <si>
    <t>Predškolska dob; Školska dob; Radni vijek</t>
  </si>
  <si>
    <t>Predškolska dob; školska dob; radni vijek; treća životna dob</t>
  </si>
  <si>
    <t>Predškolska dob; školska dob; radni vijek</t>
  </si>
  <si>
    <t>Predškolska dob; Školska dob; Radni vijek; Treća životna dob</t>
  </si>
  <si>
    <t>Pravo na penziju korsnika ili roditelja/staratelja</t>
  </si>
  <si>
    <r>
      <t xml:space="preserve">Roditelj/staratelj osobe sa poteškoćama u razvoju (nesposobnost za samostalan život, nesposobnost za privređivanje) ima pravo na penziju.                                 </t>
    </r>
    <r>
      <rPr>
        <i/>
        <sz val="8"/>
        <color rgb="FF374151"/>
        <rFont val="Segoe UI"/>
        <family val="2"/>
      </rPr>
      <t xml:space="preserve"> Status roditelja njegovatelja priznaje se jednom od roditelja lica s invaliditetom sa 100% oštećenjem organizma i pravom na dodatak za njegu i pomoć od drugog lica.</t>
    </r>
  </si>
  <si>
    <t>Usluge savjetodavno-terapeutskog rada (individualno, psihološko, grupno, porodično savjetovanje i tretman)</t>
  </si>
  <si>
    <t>Sva lica koja se nalaze u stanju socijalne potrebe - koji imaju poteškoće i probleme na planu ličnog funkcioniranja ili u odnosu sa drugima, a koje su motivirane da postignu promjene kroz savjetodavno-terapeutski tretman</t>
  </si>
  <si>
    <t>KJU “Porodično savjetovalište”</t>
  </si>
  <si>
    <t>Bihaćka bb, Sarajevo</t>
  </si>
  <si>
    <t>https://porodicno.ba/</t>
  </si>
  <si>
    <t>033 209-112</t>
  </si>
  <si>
    <t xml:space="preserve">Proces realizacije savjetodavno-terapeutskog tretmana se odvija kroz sljedeće usluge:  prijem poziva potencijalnih korisnika savjetodavno-terapeutskih usluga, realizacija preliminarne trijaže, zakazivanje termina seanse, realizacija inicijalnog intervjua, procjena indikacija za tretman, priprema za seansu (postavljanje radnih hipoteza, planiranje intervencija, definiranje cilja tretmana), dijagnosticiranje problema korisnika, psihodijagnostika, relizacija savjetodavno-terapeutskog procesa, pružanje usluga krizne intervencije, pružanje usluga ekointervencije, evaluacija savjetodavno-terapeutskog rada, praćenje readaptacije korisnika.
</t>
  </si>
  <si>
    <t>Zakon o socijalnoj zaštiti, zaštiti civilnih žrtava rata i zaštiti porodice sa djecom („Službene novine Kantona Sarajevo“ br. 38/14 – Prečišćeni tekst, 38/16, 44/17 i 28/18); član 96.
Pravilnik o radu KJU “Porodično savjetovalište”
Pravila KJU “Porodično savjetovalište”</t>
  </si>
  <si>
    <t>Usluge se pružaju svim korisnicima koji imaju poteškoće i probleme na planu ličnog funkcioniranja ili u odnosu sa drugima, a koje su motivirane da postignu promjene kroz savjetodavno-terapeutski tretman.
Usluge savjetodavno-terapeutskog rada su besplatne i zasnivaju se na principu dobrovoljnosti</t>
  </si>
  <si>
    <t>Usluge psihosocijalne podrške grupama korisnika sa istim ili sličnim problemima ( grupno savjetovanje i tretman)</t>
  </si>
  <si>
    <t>Sva lica koja se nalaze u stanju socijalne potrebe - -Usluge se pružaju korisnicima koji imaju  iste ili slične poteškoće i probleme na planu ličnog funkcioniranja ili u području odnosa sa drugima, a koji su motivirani da postignu promjene kroz grupno savjetovanje i tretman.</t>
  </si>
  <si>
    <t>Proces realizacije usluga psihosocijalne podrške grupama sa istim ili sličnim problemima se odvija kroz sljedeće aktivnosti:  procjena potreba ciljnih grupa, oglašavanje aktivnosti, formiranje grupe, priprema tematskih cjelina za rad sa grupom, priprema interaktivnih vježbi, praćenje grupne dinamike, rad sa grupom, praćenje grupnih procesa, evaluacija grupnog rada.</t>
  </si>
  <si>
    <r>
      <t xml:space="preserve">Licima sa invaliditetom i grupe sa 100% tjelesnog oštećenja i licima sa invaliditetom II grupe sa 90% tjelesnog oštećenja i civilne žrtve rata omogućiti ostvarivanje prava na ličnu invalidninu, dodatak za njegu i pomoć od strane drugog lica i ortopedski dodatak.                                                                      </t>
    </r>
    <r>
      <rPr>
        <i/>
        <sz val="10"/>
        <color rgb="FF374151"/>
        <rFont val="Calibri"/>
        <family val="2"/>
        <scheme val="minor"/>
      </rPr>
      <t>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t>
    </r>
  </si>
  <si>
    <t xml:space="preserve">Pravo na dodjelu jednokratne novčane pomoći putem sufinansiranja troškova nabavke ortopedskih pomagala i prilagođavanja stambenih objekata i motornih vozila individualnim licima </t>
  </si>
  <si>
    <t>Pravilnik o kriterijima i raspodjeli novčanih sredstava za dodjelu jednokratne novčane pomoći putem sufinansiranja troškova nabavke ortopedskih pomagala i prilagođavanja stambenih objekata i motornih vozila invalidnim licima („Službene novine Kantona Sarajevo“ broj 15/21) .</t>
  </si>
  <si>
    <t>Zdravstvena zaštita; Prevoz i kretanje</t>
  </si>
  <si>
    <t>Ova pomoć se odnosi na sufinansiranje troškova za nabavku ortopedskih pomagala, kao i na prilagođavanje stambenih objekata i motornih vozila za potrebe osoba sa invaliditetom i civilnih žrtava rata.
Da podnosilac zahtjeva ima najmanje godinu dana prebivališta na području općine Centar Sarajevo prije podnošenja zahtjeva;da je podnosilac zahtjeva invalidna osoba, sa utvrđenim pravom na ortopedsko pomagalo i pravom na tuđu njegu i pomoć, pod uvjetom da invaliditet nije priznat na osnovu statusa ratnog vojnog invalida;da je podnosilac zahtjeva vlasnik ili suvlasnik legalno izgrađene stambene jedinice, ako se radi o prilagođavanju stambenog objekta invalidnom licu;da podnosilac zahtjeva posjeduje građevinsku dozvolu izdatu od strane nadležne službe za pristupnu rampu, podiznu platformu odnosno invalidski lift;da podnosilac zahtjeva živi u stambenom objektu za koji traži prilagođavanje;da ukupna primanja domaćinstva podnosioca zahtjeva ne prelaze iznos dvije i po prosječne plaće ostvarene u FBiH prema posljednjim statističkim pokazateljima.</t>
  </si>
  <si>
    <t>Podnošenje zahtjeva sa potrebnom dokumentacijom koju je dužna stranka dostaviti u toku postupka , pribavljanje dokumentacije po službenoj dužnosti koju je organ dužan službeno pribaviti te  donošenje ugovor ao dodjeli sredstava ukoliko su ispunjeni uvjeti, ili obavijesti ukoliko nisu ispunjeni uvjeti.</t>
  </si>
  <si>
    <t>Prijava prebivališta za punoljetne članove domaćinstva podnosioca zahtjeva 
Kućna lista;
Potvrda o visini prihoda za sve punoljetne članove domaćinstva
Dokaz o vlasništvu nad individualnom stambenom jedinicom na kojoj se vrši prilagođavanje (ZK izvadak, posjedovni list, građevinska dozvola)
- potrebno za a)
Specifikaciju neophodnog materijala i predmjer i predračun radova za prilagođavanje stambenog objekta 
- potrebno za a)
Preporuku nadležne zdravstvene ustanove i Potvrdu o participaciji za nabavku neophodnog ortopedskog pomagala
Predračun za nabavku ortopedskog pomagala
Preporuka ovlaštenog ljekara da je radi prirode bolesti, invaliditeta podnosioca zahtjeva potrebno ugraditi invalidske komande u motorno vozilo
Predračun za uslugu uspostavljanja invalidskih komandi u motorno vozilo izdat od strane ovlaštenog auto servisa ili radnje
Potvrda o otvorenom tekućem računu za podnosioca zahtjeva 
- potrebno
Dokumentacija koju će organ pribavljati službenim putem:
Uvjerenja o kretanju za podnosioca zahtjeva, uvjerenja nadležne Službe socijalne zaštite općine Centar, uvjerenja Porezne uprave FBiH, uvjerenja Službe za zapošljavanje - Centar, kopije potrebnih saglasnosti nadležne službe za urbanizam, dokaz o vlasništvu motornog vozila na kojem se ugrađuju komande</t>
  </si>
  <si>
    <t>https://www.centar.ba/documents/preview/53971/javni-poziv-za-dodjelu-jednokratne-novcane-pomoci-putem-sufinansiranja-troskova-nabavke-ortopedskih-pomagala-i-prilagodjavanje-stambenih-objekata-i-motornih-vozila-invalidnim-licima</t>
  </si>
  <si>
    <r>
      <t xml:space="preserve">Ostvarivanje prava RVI-a na medicinsko - sanitetski materijal.                                                                             </t>
    </r>
    <r>
      <rPr>
        <i/>
        <sz val="10"/>
        <color rgb="FF374151"/>
        <rFont val="Calibri"/>
        <family val="2"/>
        <scheme val="minor"/>
      </rPr>
      <t>Ova mapa na naglašava specifičan skup prava koja su eksluzivno vezana za ratni invaliditet i koja su priznata isključivo osobama sa statusam RVI ili članovima njihovih porodica.</t>
    </r>
  </si>
  <si>
    <t>Lat</t>
  </si>
  <si>
    <t>Lon</t>
  </si>
  <si>
    <t>Predškolska dob; Školska dob; radni vijek; Treća životna dob</t>
  </si>
  <si>
    <t>https://www.opcinailidza.ba/uploads/files/shares/Elektronski_formulari/2021/socijalna%202/ZAHTJEV%20ZA%20PRIZNAVANJE%20PRAVA%20NA%20%20JEDNOKRATNU%20NOV%C4%8CANU%20%20POMO%C4%86%20I%20SUFINANSIRANJE%20MEDICINSKI%20POTPOMOGNUTE%20OPLODNJE.pdf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</si>
</sst>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
      <sz val="10"/>
      <color theme="1"/>
      <name val="Calibri"/>
      <family val="2"/>
      <charset val="238"/>
      <scheme val="minor"/>
    </font>
    <font>
      <b/>
      <sz val="10"/>
      <color rgb="FF374151"/>
      <name val="Calibri"/>
      <family val="2"/>
      <scheme val="minor"/>
    </font>
    <font>
      <i/>
      <sz val="8"/>
      <color rgb="FF374151"/>
      <name val="Segoe UI"/>
      <family val="2"/>
    </font>
    <font>
      <i/>
      <sz val="10"/>
      <color rgb="FF374151"/>
      <name val="Calibri"/>
      <family val="2"/>
      <scheme val="minor"/>
    </font>
    <font>
      <u/>
      <sz val="10"/>
      <color theme="10"/>
      <name val="Calibri"/>
      <family val="2"/>
      <charset val="238"/>
      <scheme val="minor"/>
    </font>
    <font>
      <sz val="10"/>
      <color rgb="FF374151"/>
      <name val="Segoe UI"/>
      <family val="2"/>
    </font>
    <font>
      <sz val="10"/>
      <color rgb="FF374151"/>
      <name val="Segoe UI"/>
      <family val="2"/>
    </font>
  </fonts>
  <fills count="8">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s>
  <borders count="2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
      <left/>
      <right style="thin">
        <color indexed="64"/>
      </right>
      <top style="thick">
        <color theme="8" tint="0.39994506668294322"/>
      </top>
      <bottom style="thick">
        <color theme="8" tint="0.39994506668294322"/>
      </bottom>
      <diagonal/>
    </border>
    <border>
      <left/>
      <right/>
      <top style="thin">
        <color theme="4" tint="0.39997558519241921"/>
      </top>
      <bottom style="thin">
        <color theme="4" tint="0.39997558519241921"/>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
      <left/>
      <right style="thin">
        <color indexed="64"/>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75">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7" fillId="0" borderId="10" xfId="0" applyFont="1" applyBorder="1" applyAlignment="1">
      <alignment wrapText="1"/>
    </xf>
    <xf numFmtId="0" fontId="18"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19" fillId="2" borderId="10" xfId="0" applyFont="1" applyFill="1" applyBorder="1" applyAlignment="1">
      <alignment vertical="center" wrapText="1"/>
    </xf>
    <xf numFmtId="0" fontId="19" fillId="2" borderId="10" xfId="0" applyFont="1" applyFill="1" applyBorder="1" applyAlignment="1">
      <alignment horizontal="left" vertical="center" wrapText="1"/>
    </xf>
    <xf numFmtId="0" fontId="19" fillId="2" borderId="10" xfId="0" applyFont="1" applyFill="1" applyBorder="1" applyAlignment="1">
      <alignment vertical="center"/>
    </xf>
    <xf numFmtId="0" fontId="20" fillId="0" borderId="10" xfId="0" applyFont="1" applyBorder="1"/>
    <xf numFmtId="0" fontId="20" fillId="0" borderId="9" xfId="0" applyFont="1" applyBorder="1"/>
    <xf numFmtId="0" fontId="20" fillId="0" borderId="1" xfId="0" applyFont="1" applyBorder="1"/>
    <xf numFmtId="0" fontId="21" fillId="5" borderId="10" xfId="1" applyFont="1" applyFill="1" applyBorder="1" applyAlignment="1">
      <alignment horizontal="left" vertical="center" wrapText="1"/>
    </xf>
    <xf numFmtId="0" fontId="22" fillId="0" borderId="10" xfId="0" applyFont="1" applyBorder="1"/>
    <xf numFmtId="0" fontId="22" fillId="0" borderId="9" xfId="0" applyFont="1" applyBorder="1"/>
    <xf numFmtId="0" fontId="22" fillId="0" borderId="1" xfId="0" applyFont="1" applyBorder="1"/>
    <xf numFmtId="0" fontId="23" fillId="5" borderId="10" xfId="1" applyFont="1" applyFill="1" applyBorder="1" applyAlignment="1">
      <alignment horizontal="left" vertical="center" wrapText="1"/>
    </xf>
    <xf numFmtId="0" fontId="23" fillId="0" borderId="10" xfId="1" applyFont="1" applyBorder="1" applyAlignment="1">
      <alignment horizontal="left" vertical="center" wrapText="1"/>
    </xf>
    <xf numFmtId="0" fontId="21" fillId="5" borderId="10" xfId="1" applyFont="1" applyFill="1" applyBorder="1"/>
    <xf numFmtId="0" fontId="23" fillId="0" borderId="10" xfId="1" applyFont="1" applyBorder="1" applyAlignment="1">
      <alignment wrapText="1"/>
    </xf>
    <xf numFmtId="0" fontId="24" fillId="0" borderId="9" xfId="0" applyFont="1" applyBorder="1"/>
    <xf numFmtId="0" fontId="24" fillId="0" borderId="1" xfId="0" applyFont="1" applyBorder="1"/>
    <xf numFmtId="0" fontId="21" fillId="0" borderId="10" xfId="1" applyFont="1" applyBorder="1" applyAlignment="1">
      <alignment horizontal="left" vertical="center" wrapText="1"/>
    </xf>
    <xf numFmtId="0" fontId="21" fillId="6" borderId="10" xfId="1" applyFont="1" applyFill="1" applyBorder="1" applyAlignment="1">
      <alignment horizontal="left" vertical="center" wrapText="1"/>
    </xf>
    <xf numFmtId="0" fontId="22" fillId="6" borderId="9" xfId="0" applyFont="1" applyFill="1" applyBorder="1"/>
    <xf numFmtId="0" fontId="22" fillId="6" borderId="1" xfId="0" applyFont="1" applyFill="1" applyBorder="1"/>
    <xf numFmtId="0" fontId="24" fillId="0" borderId="10" xfId="0" applyFont="1" applyBorder="1" applyAlignment="1">
      <alignment wrapText="1"/>
    </xf>
    <xf numFmtId="0" fontId="4" fillId="0" borderId="9" xfId="0" applyFont="1" applyBorder="1"/>
    <xf numFmtId="0" fontId="4" fillId="0" borderId="1" xfId="0" applyFont="1" applyBorder="1"/>
    <xf numFmtId="0" fontId="24" fillId="0" borderId="9" xfId="0" applyFont="1" applyBorder="1" applyAlignment="1">
      <alignment vertical="center"/>
    </xf>
    <xf numFmtId="0" fontId="24" fillId="0" borderId="1" xfId="0" applyFont="1" applyBorder="1" applyAlignment="1">
      <alignment vertical="center"/>
    </xf>
    <xf numFmtId="0" fontId="21" fillId="0" borderId="10" xfId="1" applyFont="1" applyBorder="1"/>
    <xf numFmtId="0" fontId="21" fillId="5" borderId="10" xfId="1" applyFont="1" applyFill="1" applyBorder="1" applyAlignment="1">
      <alignment horizontal="left"/>
    </xf>
    <xf numFmtId="0" fontId="24" fillId="0" borderId="10" xfId="0" applyFont="1" applyBorder="1"/>
    <xf numFmtId="0" fontId="23" fillId="0" borderId="10" xfId="1" applyFont="1" applyBorder="1"/>
    <xf numFmtId="0" fontId="24" fillId="0" borderId="0" xfId="0" applyFont="1"/>
    <xf numFmtId="0" fontId="25" fillId="0" borderId="10" xfId="1" applyFont="1" applyBorder="1" applyAlignment="1">
      <alignment horizontal="left" vertical="center" wrapText="1"/>
    </xf>
    <xf numFmtId="0" fontId="17" fillId="0" borderId="10" xfId="0" applyFont="1" applyBorder="1" applyAlignment="1">
      <alignment horizontal="left" wrapText="1"/>
    </xf>
    <xf numFmtId="0" fontId="24"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19" fillId="0" borderId="10" xfId="0" applyFont="1" applyBorder="1" applyAlignment="1">
      <alignment horizontal="left" vertical="center" wrapText="1"/>
    </xf>
    <xf numFmtId="0" fontId="19" fillId="0" borderId="10" xfId="0" applyFont="1" applyBorder="1" applyAlignment="1">
      <alignment vertical="center" wrapText="1"/>
    </xf>
    <xf numFmtId="0" fontId="19" fillId="0" borderId="10" xfId="0" applyFont="1" applyBorder="1" applyAlignment="1">
      <alignment vertical="center"/>
    </xf>
    <xf numFmtId="0" fontId="23" fillId="0" borderId="10" xfId="1" applyFont="1" applyFill="1" applyBorder="1" applyAlignment="1">
      <alignment wrapText="1"/>
    </xf>
    <xf numFmtId="0" fontId="23"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1"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3" fillId="0" borderId="10" xfId="1" applyFont="1" applyFill="1" applyBorder="1"/>
    <xf numFmtId="0" fontId="25" fillId="0" borderId="10" xfId="1" applyFont="1" applyFill="1" applyBorder="1" applyAlignment="1">
      <alignment horizontal="left" vertical="center" wrapText="1"/>
    </xf>
    <xf numFmtId="0" fontId="21" fillId="0" borderId="10" xfId="1" applyFont="1" applyFill="1" applyBorder="1" applyAlignment="1">
      <alignment horizontal="left"/>
    </xf>
    <xf numFmtId="0" fontId="21"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wrapText="1"/>
    </xf>
    <xf numFmtId="0" fontId="31" fillId="0" borderId="0" xfId="0" applyFont="1" applyAlignment="1">
      <alignment vertical="center"/>
    </xf>
    <xf numFmtId="0" fontId="31" fillId="0" borderId="0" xfId="0" applyFont="1" applyAlignment="1">
      <alignment horizontal="center" vertical="center" wrapText="1"/>
    </xf>
    <xf numFmtId="0" fontId="26" fillId="0" borderId="0" xfId="0" applyFont="1"/>
    <xf numFmtId="0" fontId="27" fillId="0" borderId="0" xfId="0" applyFont="1" applyAlignment="1">
      <alignment horizontal="left" vertical="center" wrapText="1"/>
    </xf>
    <xf numFmtId="0" fontId="28"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0" applyFont="1" applyAlignment="1">
      <alignment vertical="center"/>
    </xf>
    <xf numFmtId="0" fontId="26" fillId="0" borderId="0" xfId="0" applyFont="1" applyAlignment="1">
      <alignment horizontal="left" vertical="center" wrapText="1"/>
    </xf>
    <xf numFmtId="0" fontId="28" fillId="0" borderId="0" xfId="1" applyFont="1" applyFill="1" applyBorder="1" applyAlignment="1">
      <alignment horizontal="center" vertical="center"/>
    </xf>
    <xf numFmtId="0" fontId="30" fillId="0" borderId="0" xfId="1" applyFont="1" applyFill="1" applyBorder="1" applyAlignment="1">
      <alignment horizontal="left" vertical="center" wrapText="1"/>
    </xf>
    <xf numFmtId="0" fontId="26" fillId="0" borderId="0" xfId="0" applyFont="1" applyAlignment="1">
      <alignment horizontal="center" vertical="center" wrapText="1"/>
    </xf>
    <xf numFmtId="0" fontId="28" fillId="0" borderId="0" xfId="1" applyFont="1" applyFill="1" applyBorder="1" applyAlignment="1">
      <alignment vertical="center"/>
    </xf>
    <xf numFmtId="0" fontId="27" fillId="0" borderId="0" xfId="0" applyFont="1" applyAlignment="1">
      <alignment vertical="center" wrapText="1"/>
    </xf>
    <xf numFmtId="0" fontId="28" fillId="0" borderId="0" xfId="1" applyFont="1" applyFill="1" applyBorder="1" applyAlignment="1">
      <alignment vertical="center" wrapText="1"/>
    </xf>
    <xf numFmtId="0" fontId="26" fillId="0" borderId="0" xfId="0" applyFont="1" applyAlignment="1">
      <alignment vertical="center" wrapText="1"/>
    </xf>
    <xf numFmtId="0" fontId="29" fillId="0" borderId="0" xfId="0" applyFont="1" applyAlignment="1">
      <alignment vertical="center" wrapText="1"/>
    </xf>
    <xf numFmtId="0" fontId="26" fillId="0" borderId="0" xfId="0" applyFont="1" applyAlignment="1">
      <alignment vertical="center"/>
    </xf>
    <xf numFmtId="0" fontId="32" fillId="0" borderId="0" xfId="0" applyFont="1" applyAlignment="1">
      <alignment vertical="center" wrapText="1"/>
    </xf>
    <xf numFmtId="0" fontId="29" fillId="0" borderId="0" xfId="0" applyFont="1"/>
    <xf numFmtId="0" fontId="29" fillId="0" borderId="0" xfId="0" applyFont="1" applyAlignment="1">
      <alignment horizontal="left" vertical="center"/>
    </xf>
    <xf numFmtId="0" fontId="29"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6" fillId="0" borderId="10" xfId="0" applyFont="1" applyBorder="1" applyAlignment="1">
      <alignment horizontal="left" vertical="center" wrapText="1"/>
    </xf>
    <xf numFmtId="0" fontId="26" fillId="0" borderId="10" xfId="0" applyFont="1" applyBorder="1" applyAlignment="1">
      <alignment vertical="center" wrapText="1"/>
    </xf>
    <xf numFmtId="0" fontId="5" fillId="0" borderId="10" xfId="1" applyFill="1" applyBorder="1" applyAlignment="1">
      <alignment vertical="center" wrapText="1"/>
    </xf>
    <xf numFmtId="0" fontId="27"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3" fillId="0" borderId="0" xfId="0" applyFont="1"/>
    <xf numFmtId="0" fontId="34"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5" fillId="2" borderId="11" xfId="0" applyFont="1" applyFill="1" applyBorder="1" applyAlignment="1">
      <alignment horizontal="left" vertical="center" wrapText="1"/>
    </xf>
    <xf numFmtId="0" fontId="35" fillId="0" borderId="0" xfId="0" applyFont="1" applyAlignment="1">
      <alignment horizontal="left" vertical="center" wrapText="1"/>
    </xf>
    <xf numFmtId="0" fontId="27" fillId="0" borderId="0" xfId="0" quotePrefix="1" applyFont="1" applyAlignment="1">
      <alignment horizontal="left" vertical="center" wrapText="1"/>
    </xf>
    <xf numFmtId="0" fontId="5" fillId="0" borderId="0" xfId="1" applyFill="1" applyBorder="1" applyAlignment="1">
      <alignment wrapText="1"/>
    </xf>
    <xf numFmtId="0" fontId="5" fillId="0" borderId="0" xfId="1" applyFill="1" applyAlignment="1">
      <alignment horizontal="left" vertical="center" wrapText="1"/>
    </xf>
    <xf numFmtId="0" fontId="0" fillId="0" borderId="0" xfId="0" applyAlignment="1">
      <alignment wrapText="1"/>
    </xf>
    <xf numFmtId="0" fontId="40" fillId="0" borderId="0" xfId="0" applyFont="1" applyAlignment="1">
      <alignment vertical="center"/>
    </xf>
    <xf numFmtId="0" fontId="32" fillId="0" borderId="0" xfId="0" applyFont="1" applyAlignment="1">
      <alignment horizontal="left" vertical="center" wrapText="1"/>
    </xf>
    <xf numFmtId="0" fontId="32" fillId="0" borderId="0" xfId="0" applyFont="1" applyAlignment="1">
      <alignment horizontal="center" vertical="center" wrapText="1"/>
    </xf>
    <xf numFmtId="0" fontId="10" fillId="0" borderId="7" xfId="0" applyFont="1" applyBorder="1" applyAlignment="1">
      <alignment vertical="center" wrapText="1"/>
    </xf>
    <xf numFmtId="0" fontId="10" fillId="0" borderId="14" xfId="0" applyFont="1" applyBorder="1" applyAlignment="1">
      <alignment vertical="center"/>
    </xf>
    <xf numFmtId="0" fontId="40" fillId="0" borderId="0" xfId="0" applyFont="1"/>
    <xf numFmtId="0" fontId="32" fillId="5" borderId="15" xfId="0" applyFont="1" applyFill="1" applyBorder="1" applyAlignment="1">
      <alignment horizontal="left" vertical="center" wrapText="1"/>
    </xf>
    <xf numFmtId="0" fontId="44" fillId="5" borderId="15" xfId="1" applyFont="1" applyFill="1" applyBorder="1" applyAlignment="1">
      <alignment vertical="center"/>
    </xf>
    <xf numFmtId="0" fontId="40" fillId="0" borderId="0" xfId="0" applyFont="1" applyAlignment="1">
      <alignment wrapText="1"/>
    </xf>
    <xf numFmtId="0" fontId="45" fillId="0" borderId="0" xfId="0" applyFont="1" applyAlignment="1">
      <alignment horizontal="left" vertical="center" wrapText="1"/>
    </xf>
    <xf numFmtId="0" fontId="44" fillId="0" borderId="0" xfId="1" applyFont="1" applyAlignment="1">
      <alignment horizontal="left" vertical="center" wrapText="1"/>
    </xf>
    <xf numFmtId="0" fontId="40" fillId="0" borderId="0" xfId="0" applyFont="1" applyAlignment="1">
      <alignment horizontal="left" wrapText="1"/>
    </xf>
    <xf numFmtId="0" fontId="40" fillId="0" borderId="0" xfId="0" applyFont="1" applyAlignment="1">
      <alignment horizontal="center" wrapText="1"/>
    </xf>
    <xf numFmtId="0" fontId="46" fillId="0" borderId="0" xfId="0" applyFont="1" applyAlignment="1">
      <alignment horizontal="left" vertical="center" wrapText="1"/>
    </xf>
    <xf numFmtId="0" fontId="2" fillId="0" borderId="0" xfId="0" applyFont="1" applyAlignment="1">
      <alignment horizontal="left" vertical="center"/>
    </xf>
    <xf numFmtId="0" fontId="27" fillId="0" borderId="0" xfId="0" applyFont="1" applyAlignment="1">
      <alignment horizontal="left" vertical="center"/>
    </xf>
    <xf numFmtId="0" fontId="1" fillId="0" borderId="18" xfId="0" applyFont="1" applyBorder="1" applyAlignment="1">
      <alignment vertical="center" wrapText="1"/>
    </xf>
    <xf numFmtId="0" fontId="29" fillId="0" borderId="16" xfId="0" applyFont="1" applyBorder="1" applyAlignment="1">
      <alignment vertical="center"/>
    </xf>
    <xf numFmtId="0" fontId="29" fillId="0" borderId="17" xfId="0" applyFont="1" applyBorder="1" applyAlignment="1">
      <alignment vertical="center"/>
    </xf>
    <xf numFmtId="0" fontId="29" fillId="5" borderId="15" xfId="0" applyFont="1" applyFill="1" applyBorder="1" applyAlignment="1">
      <alignment vertical="center"/>
    </xf>
    <xf numFmtId="0" fontId="29" fillId="5" borderId="19" xfId="0" applyFont="1" applyFill="1" applyBorder="1" applyAlignment="1">
      <alignment vertical="center"/>
    </xf>
    <xf numFmtId="49" fontId="2" fillId="0" borderId="0" xfId="0" quotePrefix="1" applyNumberFormat="1" applyFont="1" applyAlignment="1">
      <alignment horizontal="left" vertical="center" wrapText="1"/>
    </xf>
    <xf numFmtId="0" fontId="37" fillId="0" borderId="0" xfId="0" applyFont="1" applyAlignment="1">
      <alignment horizontal="center" vertical="center"/>
    </xf>
    <xf numFmtId="0" fontId="38" fillId="0" borderId="0" xfId="0" applyFont="1" applyAlignment="1">
      <alignment horizontal="left" vertical="center" wrapText="1"/>
    </xf>
    <xf numFmtId="0" fontId="36"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5" fillId="0" borderId="0" xfId="1" applyAlignment="1">
      <alignment horizontal="left" vertical="center" wrapText="1"/>
    </xf>
  </cellXfs>
  <cellStyles count="2">
    <cellStyle name="Hyperlink" xfId="1" builtinId="8"/>
    <cellStyle name="Normal" xfId="0" builtinId="0"/>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microsoft.com/office/2017/10/relationships/person" Target="persons/perso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3" Type="http://schemas.openxmlformats.org/officeDocument/2006/relationships/hyperlink" Target="#'Radni vijek'!A1"/><Relationship Id="rId2" Type="http://schemas.openxmlformats.org/officeDocument/2006/relationships/hyperlink" Target="#Skolska!A1"/><Relationship Id="rId1" Type="http://schemas.openxmlformats.org/officeDocument/2006/relationships/hyperlink" Target="#Predskolska!A1"/><Relationship Id="rId5" Type="http://schemas.openxmlformats.org/officeDocument/2006/relationships/hyperlink" Target="#Dijagnoza!A1"/><Relationship Id="rId4" Type="http://schemas.openxmlformats.org/officeDocument/2006/relationships/hyperlink" Target="#'Treca dob'!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jpe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443924</xdr:colOff>
      <xdr:row>4</xdr:row>
      <xdr:rowOff>50800</xdr:rowOff>
    </xdr:from>
    <xdr:to>
      <xdr:col>4</xdr:col>
      <xdr:colOff>380424</xdr:colOff>
      <xdr:row>8</xdr:row>
      <xdr:rowOff>63500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5256DB8A-CF42-4887-84B5-32DBDBDCC746}"/>
            </a:ext>
          </a:extLst>
        </xdr:cNvPr>
        <xdr:cNvSpPr/>
      </xdr:nvSpPr>
      <xdr:spPr>
        <a:xfrm>
          <a:off x="1057276" y="801255"/>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475674</xdr:colOff>
      <xdr:row>7</xdr:row>
      <xdr:rowOff>69851</xdr:rowOff>
    </xdr:from>
    <xdr:to>
      <xdr:col>7</xdr:col>
      <xdr:colOff>412173</xdr:colOff>
      <xdr:row>11</xdr:row>
      <xdr:rowOff>82550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25318021-E7EB-441D-80CA-94CD5FA9AEF7}"/>
            </a:ext>
          </a:extLst>
        </xdr:cNvPr>
        <xdr:cNvSpPr/>
      </xdr:nvSpPr>
      <xdr:spPr>
        <a:xfrm>
          <a:off x="2929083" y="1383146"/>
          <a:ext cx="1776556"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520123</xdr:colOff>
      <xdr:row>10</xdr:row>
      <xdr:rowOff>57151</xdr:rowOff>
    </xdr:from>
    <xdr:to>
      <xdr:col>10</xdr:col>
      <xdr:colOff>456623</xdr:colOff>
      <xdr:row>14</xdr:row>
      <xdr:rowOff>69850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36ED50B6-DE0E-4BF6-B83E-DCACCC2326F2}"/>
            </a:ext>
          </a:extLst>
        </xdr:cNvPr>
        <xdr:cNvSpPr/>
      </xdr:nvSpPr>
      <xdr:spPr>
        <a:xfrm>
          <a:off x="4813589" y="1933287"/>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10</xdr:col>
      <xdr:colOff>570923</xdr:colOff>
      <xdr:row>13</xdr:row>
      <xdr:rowOff>57151</xdr:rowOff>
    </xdr:from>
    <xdr:to>
      <xdr:col>13</xdr:col>
      <xdr:colOff>507423</xdr:colOff>
      <xdr:row>17</xdr:row>
      <xdr:rowOff>69850</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58CF28A5-0153-4A93-A91D-81D4FB8A7826}"/>
            </a:ext>
          </a:extLst>
        </xdr:cNvPr>
        <xdr:cNvSpPr/>
      </xdr:nvSpPr>
      <xdr:spPr>
        <a:xfrm>
          <a:off x="6704446" y="2496128"/>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5"/>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es-PC\Github\amra-test\Mapping%20of%20services.xlsx" TargetMode="External"/><Relationship Id="rId1" Type="http://schemas.openxmlformats.org/officeDocument/2006/relationships/externalLinkPath" Target="Mapping%20of%20servi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ter"/>
      <sheetName val="Pivot"/>
      <sheetName val="All (2)"/>
      <sheetName val="HOME"/>
      <sheetName val="Dijagnoza"/>
      <sheetName val="1"/>
      <sheetName val="2"/>
      <sheetName val="3"/>
      <sheetName val="4"/>
      <sheetName val="5"/>
      <sheetName val="Dashboard"/>
      <sheetName val="Neinstitucionalizirana prava"/>
      <sheetName val="Administrativni postupci"/>
      <sheetName val="Diskrecione usluge"/>
      <sheetName val="Sheet1"/>
      <sheetName val="RASPORED ZA INFOGRAFIKU"/>
      <sheetName val="INFOGRAF"/>
      <sheetName val="All"/>
      <sheetName val="Sheet2"/>
      <sheetName val="Mapping of servic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
          <cell r="A1" t="str">
            <v>Adresa</v>
          </cell>
        </row>
      </sheetData>
      <sheetData sheetId="15"/>
      <sheetData sheetId="16"/>
      <sheetData sheetId="17">
        <row r="35">
          <cell r="B35" t="str">
            <v>Ambulanta "Sve na jednom mjestu" za djecu i osobe s poteškoćama u razvoju</v>
          </cell>
          <cell r="C35" t="str">
            <v>Dodatna ambulanta nije namijenjena za prehlade, upale grla i sl. Nego, ukoliko dijete ili osoba sa teškoćama u razvoju treba istovremeno preglede, odnosno nalaze, kao što su vađenje krvi, EKG, RTG pluća, pedijatrijski pregled ili mišljenje anesteziologa.</v>
          </cell>
          <cell r="D35" t="str">
            <v>Novorođenče; Predškolska dob; Školska dob; Radni vijek; Treća životna dob</v>
          </cell>
          <cell r="E35" t="str">
            <v>Zdravstvena zaštita</v>
          </cell>
          <cell r="F35" t="str">
            <v>Opća bolnica "Prim.dr. Abdulah Nakaš"</v>
          </cell>
          <cell r="G35" t="str">
            <v>Kranjčevićeva 12, Sarajevo</v>
          </cell>
          <cell r="I35">
            <v>38733285261</v>
          </cell>
          <cell r="L35" t="str">
            <v>Naručivanje u ambulanti.</v>
          </cell>
          <cell r="P35" t="str">
            <v>Prava, nasumični postupci</v>
          </cell>
        </row>
        <row r="36">
          <cell r="B36" t="str">
            <v>Asistent u nastavi</v>
          </cell>
          <cell r="C36" t="str">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v>
          </cell>
          <cell r="D36" t="str">
            <v>Školska dob</v>
          </cell>
          <cell r="E36" t="str">
            <v>Obrazovanje</v>
          </cell>
          <cell r="F36" t="str">
            <v>Ministarstvo odgoja i obrazovanja</v>
          </cell>
          <cell r="G36" t="str">
            <v xml:space="preserve"> Reisa Džemaludina Čauševića 1, 71000 Sarajevo     </v>
          </cell>
          <cell r="H36" t="str">
            <v>https://mo.ks.gov.ba/kontakti</v>
          </cell>
          <cell r="I36">
            <v>38733562128</v>
          </cell>
          <cell r="J36" t="str">
            <v xml:space="preserve">mo@mo.ks.gov.ba </v>
          </cell>
          <cell r="K36" t="str">
            <v>Zakon o osnovnom odgoju i obrazovanju (Službene novine Kantona Sarajevo, 23/2017, 33/2017, 30/2019, 34/2020, 33/2021)
Pravilnik o inkluzivnom obrazovanju (Službene novine Kantona Sarajevo, 32/19)</v>
          </cell>
          <cell r="L36" t="str">
            <v>Nije definisan; Nema upute kako "započeti" proces za roditelja/dijete. Definirano je da ustanova/centar treba da se obrati ministarstvu za dodatnu podršku, ministarstvo rješava zahtjeve (prema obrascu) za 15 dana.</v>
          </cell>
          <cell r="M36" t="str">
            <v>Nije definisano</v>
          </cell>
          <cell r="N36" t="str">
            <v>N/a</v>
          </cell>
          <cell r="P36" t="str">
            <v>Prava, nasumični postupci</v>
          </cell>
        </row>
        <row r="37">
          <cell r="B37" t="str">
            <v>Usluge centara za prevenciju</v>
          </cell>
          <cell r="C37" t="str">
            <v>Logopedi, defektolozi</v>
          </cell>
          <cell r="D37" t="str">
            <v>Novorođenče; Predškolska dob; Školska dob</v>
          </cell>
          <cell r="E37" t="str">
            <v>Zdravstvena zaštita</v>
          </cell>
          <cell r="K37" t="str">
            <v>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v>
          </cell>
          <cell r="P37" t="str">
            <v>Prava, nasumični postupci</v>
          </cell>
        </row>
        <row r="38">
          <cell r="B38" t="str">
            <v>Jednokratna novčana pomoć za invalidna lica</v>
          </cell>
          <cell r="C38" t="str">
            <v>Općina Ilidža: Općinski načelnik dodjeljuje jednokratnu novčanu pomoć osobama sa invaliditetom sa posebnim potrebama koje su u socijalnoj potrebi.</v>
          </cell>
          <cell r="D38" t="str">
            <v>Novorođenče; Predškolska dob; Školska dob; Radni vijek; Treća životna dob</v>
          </cell>
          <cell r="E38" t="str">
            <v>Socijalna zaštita za PwD</v>
          </cell>
          <cell r="F38" t="str">
            <v>Općina Ilidža</v>
          </cell>
          <cell r="G38" t="str">
            <v>Butmirska cesta 12, prvi sprat</v>
          </cell>
          <cell r="H38" t="str">
            <v>https://www.opcinailidza.ba/services/sluzba-za-socijalna-pitanja-zdravstvo-izbjeglice-i-raseljena-lica</v>
          </cell>
          <cell r="I38">
            <v>387733637384</v>
          </cell>
          <cell r="J38" t="str">
            <v>sejda.topalovic@opcinailidza.ba</v>
          </cell>
          <cell r="K38" t="str">
            <v>Pomoć se dodjeljuje kontinuirano posljednjih 10 godina</v>
          </cell>
          <cell r="L38" t="str">
            <v>Dodjela se vrši na osnovu evidencija Službe, a upis u evidenciju  može se izvršti i na način da se dostavi  dokumentacija Službi za socijalna pitanja, zdravstvo, izbjeglice i raseljena lica Općine Ilidža na adresi Butmirska cesta 12, -prvi sprat</v>
          </cell>
          <cell r="M38" t="str">
            <v>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v>
          </cell>
          <cell r="N38" t="str">
            <v>ZAHTJEV ZA PRIZNAVANJE PRAVA NA JEDNOKRATNU NOVČANU POMOĆ I SUFINANSIRANJE MEDICINSKI POTPOMOGNUTE OPLODNJE.pdf (opcinailidza.ba)</v>
          </cell>
          <cell r="P38" t="str">
            <v>Prava, nasumični postupci</v>
          </cell>
        </row>
        <row r="39">
          <cell r="B39" t="str">
            <v>Jednokratna novčana pomoć za stanovnike starije od 80 godina</v>
          </cell>
          <cell r="C39" t="str">
            <v>Jednokratna novčana pomoć koja se godišnje dodjeljuje svim stanovnicima opštine starijim od 80 godina. Iznos zavisi od raspoloživosti sredstava u budžetu.</v>
          </cell>
          <cell r="D39" t="str">
            <v>Treća životna dob</v>
          </cell>
          <cell r="E39" t="str">
            <v>Elderly</v>
          </cell>
          <cell r="F39" t="str">
            <v>Općina Ilidža</v>
          </cell>
          <cell r="G39" t="str">
            <v>Butmirska cesta 12, prvi sprat</v>
          </cell>
          <cell r="I39">
            <v>387733637384</v>
          </cell>
          <cell r="J39" t="str">
            <v>sejda.topalovic@opcinailidza.ba</v>
          </cell>
          <cell r="K39" t="str">
            <v>Raspodjela na osnovu evidencije mjesnih zajednica</v>
          </cell>
          <cell r="L39" t="str">
            <v>N/a</v>
          </cell>
          <cell r="M39" t="str">
            <v>N/a</v>
          </cell>
          <cell r="N39" t="str">
            <v>N/a</v>
          </cell>
          <cell r="P39" t="str">
            <v>Prava, nasumični postupci</v>
          </cell>
        </row>
        <row r="40">
          <cell r="B40" t="str">
            <v>Jednokratna novčana pomoć za teško bolesne osobe i umjetnu oplodnju</v>
          </cell>
          <cell r="C40" t="str">
            <v>Novčana pomoć za teško oboljela lica sa područja općine Ilidža kojima je potrebno plaćanje troškova liječenja u zemlji i/ili inostranstvu.</v>
          </cell>
          <cell r="D40" t="str">
            <v>Novorođenče; Predškolska dob; Školska dob; Radni vijek; Treća životna dob</v>
          </cell>
          <cell r="E40" t="str">
            <v>Zdravstvena zaštita</v>
          </cell>
          <cell r="F40" t="str">
            <v>Općina Ilidža</v>
          </cell>
          <cell r="G40" t="str">
            <v>Butmirska cesta 12, prvi sprat</v>
          </cell>
          <cell r="H40" t="str">
            <v>ZAHTJEV ZA PRIZNAVANJE PRAVA NA JEDNOKRATNU NOVČANU POMOĆ I SUFINANSIRANJE MEDICINSKI POTPOMOGNUTE OPLODNJE.pdf (opcinailidza.ba)</v>
          </cell>
          <cell r="I40">
            <v>387733637384</v>
          </cell>
          <cell r="J40" t="str">
            <v>sejda.topalovic@opcinailidza.ba</v>
          </cell>
          <cell r="K40" t="str">
            <v>Za rješavanje zahtjeva nadležna je Komisija koju čine ljekari različitih specijalnosti</v>
          </cell>
          <cell r="L40" t="str">
            <v>ZAHTJEV ZA PRIZNAVANJE PRAVA NA JEDNOKRATNU NOVČANU POMOĆ I SUFINANSIRANJE MEDICINSKI POTPOMOGNUTE OPLODNJE.pdf (opcinailidza.ba)</v>
          </cell>
          <cell r="M40" t="str">
            <v>ZAHTJEV ZA PRIZNAVANJE PRAVA NA JEDNOKRATNU NOVČANU POMOĆ I SUFINANSIRANJE MEDICINSKI POTPOMOGNUTE OPLODNJE.pdf (opcinailidza.ba)</v>
          </cell>
          <cell r="N40" t="str">
            <v>ZAHTJEV ZA PRIZNAVANJE PRAVA NA JEDNOKRATNU NOVČANU POMOĆ I SUFINANSIRANJE MEDICINSKI POTPOMOGNUTE OPLODNJE.pdf (opcinailidza.ba)</v>
          </cell>
          <cell r="P40" t="str">
            <v>Prava, nasumični postupci</v>
          </cell>
        </row>
        <row r="41">
          <cell r="B41" t="str">
            <v>Oslobađanje od plaćanja RTV takse za osobe koje su izgubile sluh i vid</v>
          </cell>
          <cell r="C41" t="str">
            <v>Od obaveze plaćanja RTV takse oslobađaju se vlasnici prijemnika koji su trajno izgubili vid ili sluh i žive sami u domaćinstvu ili sa starateljem.</v>
          </cell>
          <cell r="F41" t="str">
            <v>Radio–televizija Bosne i Hercegovine</v>
          </cell>
          <cell r="G41" t="str">
            <v>Bulevar Meše Selimovića 12</v>
          </cell>
          <cell r="L41" t="str">
            <v>Zahtjev za ostvarenje prava podnosi se Radio–televiziji Bosne i Hercegovine u Sarajevu.</v>
          </cell>
          <cell r="M41" t="str">
            <v>Zahtjev
Kopija lične karte
Kućna lista
Dokument o starateljstvu koji izdaje centar za socijalni rad u mjestu prebivališta
Kopiju lične karte;
Kućnu listu;
Dokument o starateljstvu (ako ga imate) koji izdaje centar za socijalni rad u mjestu prebivališta</v>
          </cell>
          <cell r="P41" t="str">
            <v>Prava, nasumični postupci</v>
          </cell>
        </row>
        <row r="42">
          <cell r="B42" t="str">
            <v>Oslobađanje plaćanja  uvoznih dadžbina, carine i PDV-a prilikom uvoza automobila</v>
          </cell>
          <cell r="C42" t="str">
            <v>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v>
          </cell>
          <cell r="D42" t="str">
            <v>Školska dob; Radni vijek; Treća životna dob</v>
          </cell>
          <cell r="E42" t="str">
            <v>Prevoz</v>
          </cell>
          <cell r="F42" t="str">
            <v>MUP Kantona Sarajevo</v>
          </cell>
          <cell r="L42" t="str">
            <v>Zahtjev za oslobadjanje od plaćanja carine podnosi se nadležnoj carinskoj upravi</v>
          </cell>
          <cell r="M42" t="str">
            <v>- nalaz ocjena ili mišljenje o stepenu oštećenja ekstremiteta bitnog za upravljanje vozilom izdatog od strane organa entiteta, BiH i Brčko distrikta BiH,
- dvije fotografije dimenzija 30 s 35 mm,
- lična karta na uvid i
- fotokopija potvrde o vlasništvu nad motornim vozilom.</v>
          </cell>
          <cell r="P42" t="str">
            <v>Prava, nasumični postupci</v>
          </cell>
        </row>
        <row r="43">
          <cell r="B43" t="str">
            <v>Osnovna dijagnostika</v>
          </cell>
          <cell r="C43" t="str">
            <v>Osobe s invaliditetom imaju pravo na besplatnu osnovnu dijagnostiku na KCUS-u i Domovizma zdravlja KS.</v>
          </cell>
          <cell r="D43" t="str">
            <v>Novorođenče; Predškolska dob; Školska dob; Radni vijek; Treća životna dob</v>
          </cell>
          <cell r="E43" t="str">
            <v>Zdravstvena zaštita</v>
          </cell>
          <cell r="F43" t="str">
            <v>Klinički centar Univerziteta u Sarajevu i Domovi zdravlja Kantona Sarajevo</v>
          </cell>
          <cell r="P43" t="str">
            <v>Prava, nasumični postupci</v>
          </cell>
        </row>
        <row r="44">
          <cell r="B44" t="str">
            <v xml:space="preserve">Osnovni paket fiksne telefonije - socijalni </v>
          </cell>
          <cell r="C44" t="str">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v>
          </cell>
          <cell r="D44" t="str">
            <v>Novorođenče; Predškolska dob; Školska dob; Radni vijek; Treća životna dob</v>
          </cell>
          <cell r="F44" t="str">
            <v>BH Telecom</v>
          </cell>
          <cell r="G44" t="str">
            <v>Zmaja od Bosne 88</v>
          </cell>
          <cell r="H44" t="str">
            <v>https://mojwebshop.bhtelecom.ba/INTERSHOP/web/BOS/BHTelecomWebShop-BHTelecom-Site/bs_BA/-/BAM/ViewProduct-Start?SKU=100003</v>
          </cell>
          <cell r="I44">
            <v>38733653093</v>
          </cell>
          <cell r="P44" t="str">
            <v>Prava, nasumični postupci</v>
          </cell>
        </row>
        <row r="45">
          <cell r="B45" t="str">
            <v>Porez na dohodak, umanjenje poreza na zaposlene osobe sa invaliditetom</v>
          </cell>
          <cell r="C45" t="str">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ell>
          <cell r="D45" t="str">
            <v>Novorođenče; Predškolska dob; Školska dob; Radni vijek; Treća životna dob</v>
          </cell>
          <cell r="E45" t="str">
            <v>Poreske olakšice</v>
          </cell>
          <cell r="F45" t="str">
            <v>Poreska uprava Općine</v>
          </cell>
          <cell r="K45" t="str">
            <v>Zakn o porezu na dohodak FBiH</v>
          </cell>
          <cell r="M45" t="str">
            <v>Kopija lične karte
Vjenčani list;
Rodni list;
Dokaz o visini prihoda izdržavanog lica;
Uvjerenje o zajedničkom domaćinstvu;
Rješenje nadležnog organa sa utvrđenim tjelesnim oštećenjem i stepena invaliditeta</v>
          </cell>
          <cell r="P45" t="str">
            <v>Prava, nasumični postupci</v>
          </cell>
        </row>
        <row r="46">
          <cell r="B46" t="str">
            <v xml:space="preserve">Posebna ishrana </v>
          </cell>
          <cell r="D46" t="str">
            <v>Novorođenče; Predškolska dob; Školska dob; Radni vijek; Treća životna dob</v>
          </cell>
          <cell r="F46" t="str">
            <v>Zavod zdravstvenog osiguranja KS</v>
          </cell>
          <cell r="P46" t="str">
            <v>Prava, nasumični postupci</v>
          </cell>
        </row>
        <row r="47">
          <cell r="B47" t="str">
            <v>Povlastice u željezničkom saobraćaju</v>
          </cell>
          <cell r="K47" t="str">
            <v>http://www.sluzbenilist.ba/page/akt/lbKAkKGaEwg=</v>
          </cell>
          <cell r="P47" t="str">
            <v>Prava, nasumični postupci</v>
          </cell>
        </row>
        <row r="48">
          <cell r="B48"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ell>
          <cell r="C48" t="str">
            <v>Program edukacijsko-rehabilitacijskih tretmana sastoji se od posebnih defektoloških/edukacijsko-rehabilitacijskih sadržaja koji se različitim postupcima provode u svrhu uspješnijeg usvajanja nastavnih sadržaja kao i za pospješivanje boljeg fukncioniranja.</v>
          </cell>
          <cell r="D48" t="str">
            <v>Školska dob</v>
          </cell>
          <cell r="L48" t="str">
            <v>Nije definisan; Nema upute kako "započeti" proces za roditelja/dijete. Definirano je da ustanova/centar treba da se obrati ministarstvu za dodatnu podršku, ministarstvo rješava zahtjeve (prema obrascu) za 15 dana.</v>
          </cell>
          <cell r="P48" t="str">
            <v>Prava, nasumični postupci</v>
          </cell>
        </row>
        <row r="49">
          <cell r="B49" t="str">
            <v>Pravo na individualni prilagođeni program (IPP) – IPP1 IPP2 IPP3</v>
          </cell>
          <cell r="C49" t="str">
            <v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v>
          </cell>
          <cell r="D49" t="str">
            <v>Školska dob</v>
          </cell>
          <cell r="E49" t="str">
            <v>Obrazovanje</v>
          </cell>
          <cell r="F49" t="str">
            <v>Ministarstvo odgoja i obrazovanja</v>
          </cell>
          <cell r="G49" t="str">
            <v xml:space="preserve">Reisa Džemaludina Čauševića 1, 71000 Sarajevo     </v>
          </cell>
          <cell r="H49" t="str">
            <v>https://mo.ks.gov.ba/kontakti</v>
          </cell>
          <cell r="I49">
            <v>38733562128</v>
          </cell>
          <cell r="J49" t="str">
            <v xml:space="preserve">mo@mo.ks.gov.ba </v>
          </cell>
          <cell r="K49" t="str">
            <v>Zakon o osnovnom odgoju i obrazovanju (Službene novine Kantona Sarajevo, 23/2017, 33/2017, 30/2019, 34/2020, 33/2021)
Pravilnik o inkluzivnom obrazovanju (Službene novine Kantona Sarajevo, 32/19)</v>
          </cell>
          <cell r="L49" t="str">
            <v>Nije definisan; Nema upute kako "započeti" proces za roditelja/dijete. Definirano je da ustanova/centar treba da se obrati ministarstvu za dodatnu podršku, ministarstvo rješava zahtjeve (prema obrascu) za 15 dana.</v>
          </cell>
          <cell r="M49" t="str">
            <v>Nije definisano</v>
          </cell>
          <cell r="N49" t="str">
            <v>N/a</v>
          </cell>
          <cell r="P49" t="str">
            <v>Prava, nasumični postupci</v>
          </cell>
        </row>
        <row r="50">
          <cell r="B50" t="str">
            <v>Pravo na pelene</v>
          </cell>
          <cell r="D50" t="str">
            <v>Novorođenče</v>
          </cell>
          <cell r="F50" t="str">
            <v>Zavod zdravstvenog osiguranja KS</v>
          </cell>
          <cell r="P50" t="str">
            <v>Prava, nasumični postupci</v>
          </cell>
        </row>
        <row r="51">
          <cell r="B51" t="str">
            <v>Pružanje oralno-hirurških i stomatoloških usluga za djecu sa poteškoćama u razvoju</v>
          </cell>
          <cell r="C51" t="str">
            <v>Na Stomatološkom fakultetu u Sarajevu djeci s poteškoćama u razvoju pružaju se besplatne oralnohirurške i stomatološke usluge, ako je potrebno i pod općom anestezijom. .</v>
          </cell>
          <cell r="D51" t="str">
            <v>Predškolska dob; Školska dob</v>
          </cell>
          <cell r="E51" t="str">
            <v>Zdravstvena zaštita</v>
          </cell>
          <cell r="F51" t="str">
            <v>Stomatološki fakultet u Sarajevu</v>
          </cell>
          <cell r="G51" t="str">
            <v>Bolnička 4, Sarajevo</v>
          </cell>
          <cell r="H51" t="str">
            <v>https://sf.unsa.ba/pruzanje-oralno-hirurskih-i-stomatoloskih-usluga-za-djecu-sa-poteskocama-u-razvoju/</v>
          </cell>
          <cell r="I51">
            <v>38733214249</v>
          </cell>
          <cell r="M51" t="str">
            <v>https://sf.unsa.ba/pruzanje-oralno-hirurskih-i-stomatoloskih-usluga-za-djecu-sa-poteskocama-u-razvoju/</v>
          </cell>
          <cell r="N51" t="str">
            <v>https://sf.unsa.ba/pruzanje-oralno-hirurskih-i-stomatoloskih-usluga-za-djecu-sa-poteskocama-u-razvoju/</v>
          </cell>
          <cell r="P51" t="str">
            <v>Prava, nasumični postupci</v>
          </cell>
        </row>
        <row r="52">
          <cell r="B52" t="str">
            <v>Subvencija  za djecu istih roditelja - oslobađanje plaćanja vrtića za braću i sestre djeteta sa poteškoćama u razvoju</v>
          </cell>
          <cell r="C52" t="str">
            <v>Djeca koja su braća/sestre djeteta sa poteškoćama u razvoju imaju pravo na subvenciju troškova vrtića.</v>
          </cell>
          <cell r="D52" t="str">
            <v>Predškolska dob;</v>
          </cell>
          <cell r="E52" t="str">
            <v>Obrazovanje</v>
          </cell>
          <cell r="F52" t="str">
            <v>Općinski nivo</v>
          </cell>
          <cell r="P52" t="str">
            <v>Prava, nasumični postupci</v>
          </cell>
        </row>
        <row r="53">
          <cell r="B53" t="str">
            <v>Ugradnja inzulinske pumpice</v>
          </cell>
          <cell r="C53" t="str">
            <v xml:space="preserve">Osigurana lica - djeca do 18 godina, inzuloovisnici, na prijedlog tima za inzulinske pumpe pedijatrijske klinike, a uz odobrenje komisije Zavoda, mogu ostvariti pravo na inzulinsku pumpu. Uz inzulinsku pumpu obezbješuje se potrošni materijal: </v>
          </cell>
          <cell r="D53" t="str">
            <v>Novorođenče; Predškolska dob; Školska dob</v>
          </cell>
          <cell r="E53" t="str">
            <v>Zdravstvena zaštita</v>
          </cell>
          <cell r="F53" t="str">
            <v>Zavod zdravstvenog osiguranja KS</v>
          </cell>
          <cell r="K53" t="str">
            <v>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v>
          </cell>
          <cell r="P53" t="str">
            <v>Prava, nasumični postupci</v>
          </cell>
        </row>
        <row r="54">
          <cell r="B54" t="str">
            <v>Uvećani dječiji doplatak</v>
          </cell>
          <cell r="C54" t="str">
            <v>Ako je neki član porodice lice sa invaliditetom, djeca imaju pravo na uvećani dječiji dodatak. Zakonom nije predviđen imovinski cenzus. 
Obratiti se nadležnoj službi u općini stanovanja, popuniti zahtjev i priložiti tražene dokumente.</v>
          </cell>
          <cell r="D54" t="str">
            <v>Novorođenče; Predškolska dob; Školska dob</v>
          </cell>
          <cell r="E54" t="str">
            <v>Socijalna zaštita</v>
          </cell>
          <cell r="F54" t="str">
            <v>Općine</v>
          </cell>
          <cell r="P54" t="str">
            <v>Prava, nasumični postupci</v>
          </cell>
        </row>
      </sheetData>
      <sheetData sheetId="18">
        <row r="1">
          <cell r="E1" t="str">
            <v>Novorođenče</v>
          </cell>
        </row>
        <row r="2">
          <cell r="E2" t="str">
            <v>Ambulanta "Sve na jednom mjestu" za djecu i osobe s poteškoćama u razvoju</v>
          </cell>
        </row>
        <row r="3">
          <cell r="E3" t="str">
            <v>Dodatak za njegu i pomoć od strane drugog lica, Civilne žrtve rata</v>
          </cell>
        </row>
        <row r="4">
          <cell r="E4" t="str">
            <v>Jednokratna novčana pomoć licima i domaćinstvima sa područja općine Novo Sarajevo</v>
          </cell>
        </row>
        <row r="5">
          <cell r="E5" t="str">
            <v>Jednokratna novčana pomoć za invalidna lica</v>
          </cell>
        </row>
        <row r="6">
          <cell r="E6" t="str">
            <v>Jednokratna novčana pomoć za teško bolesne osobe i umjetnu oplodnju</v>
          </cell>
        </row>
        <row r="7">
          <cell r="E7" t="str">
            <v>Kupovina lijekova po posebnim protokolima</v>
          </cell>
        </row>
        <row r="8">
          <cell r="E8" t="str">
            <v>Medicinska rehabilitacija/banjsko liječenje kao produženo bolničko liječenje</v>
          </cell>
        </row>
        <row r="9">
          <cell r="E9" t="str">
            <v>Medicinska sredstva - ortopedska pomagala</v>
          </cell>
        </row>
        <row r="10">
          <cell r="E10" t="str">
            <v>Ocjenjivanje sposobnosti, razvrstavanje djece i omladine ometene u psiho-fizičkom razvoju</v>
          </cell>
        </row>
        <row r="11">
          <cell r="E11" t="str">
            <v>Osnovna dijagnostika</v>
          </cell>
        </row>
        <row r="12">
          <cell r="E12" t="str">
            <v xml:space="preserve">Osnovni paket fiksne telefonije - socijalni </v>
          </cell>
        </row>
        <row r="13">
          <cell r="E13" t="str">
            <v>Porez na dohodak, umanjenje poreza na zaposlene osobe sa invaliditetom</v>
          </cell>
        </row>
        <row r="14">
          <cell r="E14" t="str">
            <v xml:space="preserve">Posebna ishrana </v>
          </cell>
        </row>
        <row r="15">
          <cell r="E15" t="str">
            <v>Pravo na kućnu njegu</v>
          </cell>
        </row>
        <row r="16">
          <cell r="E16" t="str">
            <v>Pravo na ličnu invalidninu, dodatak za njegu i pomoć drugog lica i ortopedski dodatak</v>
          </cell>
        </row>
        <row r="17">
          <cell r="E17" t="str">
            <v>Pravo na pelene</v>
          </cell>
        </row>
        <row r="18">
          <cell r="E18" t="str">
            <v>Pravo na penziju</v>
          </cell>
        </row>
        <row r="19">
          <cell r="E19" t="str">
            <v>Pravo na stalnu novčanu pomoć</v>
          </cell>
        </row>
        <row r="20">
          <cell r="E20" t="str">
            <v>Pravo na zdravstvenu zaštitu</v>
          </cell>
        </row>
        <row r="21">
          <cell r="E21" t="str">
            <v>Pravo roditelja njegovatelja na osiguranje</v>
          </cell>
        </row>
        <row r="22">
          <cell r="E22" t="str">
            <v>Pravo roditelja njegovatelja na pokrivanje troškova sahrane/dženaze</v>
          </cell>
        </row>
        <row r="23">
          <cell r="E23" t="str">
            <v>Prednost u primanju usluga u zdravstvenom i drugim institucijama</v>
          </cell>
        </row>
        <row r="24">
          <cell r="E24" t="str">
            <v>Priznavanje statusa roditelja njegovatelja</v>
          </cell>
        </row>
        <row r="25">
          <cell r="E25" t="str">
            <v>Refundacija troškova lijekova i liječenja</v>
          </cell>
        </row>
        <row r="26">
          <cell r="E26" t="str">
            <v>Smještaj u hospis</v>
          </cell>
        </row>
        <row r="27">
          <cell r="E27" t="str">
            <v>Smještaj u ustanovu, njega, rehabilitacija i socijalna zaštita – Dom za djecu bez roditeljskog staranja</v>
          </cell>
        </row>
        <row r="28">
          <cell r="E28" t="str">
            <v>Ugradnja inzulinske pumpice</v>
          </cell>
        </row>
        <row r="29">
          <cell r="E29" t="str">
            <v>Usluge centara za prevenciju</v>
          </cell>
        </row>
        <row r="30">
          <cell r="E30" t="str">
            <v>Uvećani dječiji doplatak</v>
          </cell>
        </row>
      </sheetData>
      <sheetData sheetId="19" refreshError="1"/>
    </sheetDataSet>
  </externalBook>
</externalLink>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0" totalsRowShown="0" headerRowDxfId="56" dataDxfId="55" tableBorderDxfId="54">
  <autoFilter ref="A1:F10" xr:uid="{F8E5540E-A15D-4EBA-B54B-F2677BCFD519}"/>
  <tableColumns count="6">
    <tableColumn id="1" xr3:uid="{3CD3A6FA-48B3-4742-8A53-DD72379ADF8D}" name="Naziv " dataDxfId="53"/>
    <tableColumn id="2" xr3:uid="{822BDE87-6F30-4A0E-A5E2-A9CA37AF424B}" name="Opis" dataDxfId="52"/>
    <tableColumn id="3" xr3:uid="{58D77055-6C4D-4085-8930-2E537F7B48A2}" name="Životna dob" dataDxfId="51"/>
    <tableColumn id="5" xr3:uid="{63ED1170-2807-4400-9BED-30ED8580EBF4}" name="Pravni osnov" dataDxfId="50"/>
    <tableColumn id="6" xr3:uid="{EDBC30B4-6F48-4A07-8E16-A1D618F93B57}" name="Pojašnjenje (Član)" dataDxfId="49"/>
    <tableColumn id="7" xr3:uid="{97503B81-1CB4-45AC-A9F3-58BBE73723CB}" name="Web stranica"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S31" totalsRowShown="0" headerRowDxfId="47" dataDxfId="45" headerRowBorderDxfId="46" tableBorderDxfId="44" totalsRowBorderDxfId="43">
  <autoFilter ref="A1:S31" xr:uid="{DC01B4FA-5515-495E-8493-A665299851AA}"/>
  <tableColumns count="19">
    <tableColumn id="1" xr3:uid="{1F9E85E2-0B42-4580-82E0-6EEF465356B7}" name="#" dataDxfId="42"/>
    <tableColumn id="2" xr3:uid="{4219DB81-11D2-48FE-B7E2-5608FFF50B55}" name="Naziv " dataDxfId="41"/>
    <tableColumn id="3" xr3:uid="{694A58F1-2A0C-4062-B856-7D3DE3AB2B87}" name="Opis" dataDxfId="40"/>
    <tableColumn id="4" xr3:uid="{E6B32774-7F5A-4404-BA91-DAEFC1C6DC74}" name="Životna dob" dataDxfId="39"/>
    <tableColumn id="5" xr3:uid="{F53571F7-E67A-4D75-B971-A9E579E334CE}" name="Godine" dataDxfId="38"/>
    <tableColumn id="6" xr3:uid="{C56B24ED-F555-4C1E-8F1F-95E0A9F19EBD}" name="Tip usluge/prava/benefita" dataDxfId="37"/>
    <tableColumn id="7" xr3:uid="{E061CC34-19FF-417C-8134-E10A7AFAB410}" name="Institucija" dataDxfId="36"/>
    <tableColumn id="8" xr3:uid="{772F549A-88E3-465F-A720-D9DB53E72F53}" name="Adresa" dataDxfId="35"/>
    <tableColumn id="9" xr3:uid="{4CEF74C2-07E0-4B89-85D3-C9E9B9A1743A}" name="Web stranica" dataDxfId="34"/>
    <tableColumn id="10" xr3:uid="{DF65403C-1AF1-4456-B8F7-E59BD4641A90}" name="Telefon" dataDxfId="33"/>
    <tableColumn id="11" xr3:uid="{691CF05D-6BDD-4AAD-97E1-9C52B75F2E41}" name="Email" dataDxfId="32"/>
    <tableColumn id="12" xr3:uid="{AE92B2E5-DC89-43B9-A62F-8B64611EDD93}" name="Pravni osnov" dataDxfId="31"/>
    <tableColumn id="13" xr3:uid="{6CEED575-5B30-4A77-AB59-1EC60905A98A}" name="Proces aplikacije" dataDxfId="30"/>
    <tableColumn id="14" xr3:uid="{FFE031DC-1278-4B8E-AE6A-C8D486B3F7DB}" name="Lista neophodnih dokumenata" dataDxfId="29"/>
    <tableColumn id="15" xr3:uid="{A3CB64C4-787A-4D5D-A31E-037D47BCA561}" name="Link za informacije o prijavi" dataDxfId="28"/>
    <tableColumn id="16" xr3:uid="{2A4E65B2-B182-44CE-8C1E-844CC2177CFC}" name="Vremenski okvir" dataDxfId="27"/>
    <tableColumn id="17" xr3:uid="{D7268B50-AA0A-4678-B0CA-B96626BF4CE7}" name="Dodatne napomene" dataDxfId="26"/>
    <tableColumn id="18" xr3:uid="{D7CC9E88-F8AA-4482-A4F3-AFF654B37299}" name="Lat" dataDxfId="25">
      <calculatedColumnFormula>IFERROR(VLOOKUP(Table2[[#This Row],[Adresa]],Sheet1!$A$1:$C$50,2,0),0)</calculatedColumnFormula>
    </tableColumn>
    <tableColumn id="19" xr3:uid="{E212D38E-3C14-4451-9823-9825AA7C6B45}" name="Lon" dataDxfId="24">
      <calculatedColumnFormula>IFERROR(VLOOKUP(Table2[[#This Row],[Adresa]],Sheet1!$A$1:$C$50,3,0),0)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8" totalsRowShown="0" headerRowDxfId="23" dataDxfId="21" headerRowBorderDxfId="22" tableBorderDxfId="20">
  <autoFilter ref="A1:N18" xr:uid="{5FC73C86-88F7-4509-A95A-5168F4D44A8C}"/>
  <tableColumns count="14">
    <tableColumn id="1" xr3:uid="{93C9BA4B-E353-4D19-A8B1-FD649D881751}" name="Naziv " dataDxfId="19"/>
    <tableColumn id="2" xr3:uid="{37CD3CA4-A5B4-48AA-8EAB-A634118E07F6}" name="Opis" dataDxfId="18"/>
    <tableColumn id="3" xr3:uid="{166DA75C-3FDE-4343-A1C5-D2960F08F3B9}" name="Tip usluge/prava/benefita" dataDxfId="17"/>
    <tableColumn id="4" xr3:uid="{7400F049-A05D-4A4E-99A4-43B56FBA226C}" name="Životna dob" dataDxfId="16"/>
    <tableColumn id="6" xr3:uid="{762D7820-5F72-4954-AFF5-8563D1F25EDF}" name="Korisnici" dataDxfId="15"/>
    <tableColumn id="7" xr3:uid="{037E89ED-4586-4EB8-8009-1DC090C06F9E}" name="Ministartvo/Organizacija" dataDxfId="14"/>
    <tableColumn id="8" xr3:uid="{2DE3B312-9D8F-4CF9-8624-2A6E25D376D2}" name="Adresa" dataDxfId="13"/>
    <tableColumn id="9" xr3:uid="{F2FDB37F-57A2-4F5E-8AE1-29D816260855}" name="Web stranica" dataDxfId="12"/>
    <tableColumn id="10" xr3:uid="{9507BFE2-DD4B-41AE-A7ED-EE3EA04689F9}" name="Telefon" dataDxfId="11"/>
    <tableColumn id="11" xr3:uid="{422D2703-FD84-4A66-A590-54DC013958FF}" name="Email" dataDxfId="10"/>
    <tableColumn id="12" xr3:uid="{7DAAC0A0-5795-416B-8172-BF7FB16CF71C}" name="Pravni okvir" dataDxfId="9"/>
    <tableColumn id="13" xr3:uid="{3FECE412-1757-4D30-BE43-D03589D55C54}" name="Proces aplikacije" dataDxfId="8"/>
    <tableColumn id="14" xr3:uid="{9CCCC0FB-8F10-4A5D-BA9F-34BEB2AACEA9}" name="Lista neophodnih dokumenata" dataDxfId="7"/>
    <tableColumn id="15" xr3:uid="{897F94AA-266F-4177-BC01-F1BA673F652B}" name="Link za informacije o prijavi"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5">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6"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17" dT="2023-11-02T15:38:45.39" personId="{4F443A0E-C9E6-48AD-9C00-9AB97078B107}" id="{0AD44763-B4DF-4D57-B80A-5FB71860E92F}">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29"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84" Type="http://schemas.openxmlformats.org/officeDocument/2006/relationships/hyperlink" Target="https://www.fzmiopio.ba/wp-content/uploads/2022/11/tjelesno_bos.pdf" TargetMode="External"/><Relationship Id="rId89" Type="http://schemas.openxmlformats.org/officeDocument/2006/relationships/comments" Target="../comments2.xm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74" Type="http://schemas.openxmlformats.org/officeDocument/2006/relationships/hyperlink" Target="https://www.fzmiopio.ba/wp-content/uploads/2022/11/invalidska_bos.pdf" TargetMode="External"/><Relationship Id="rId79" Type="http://schemas.openxmlformats.org/officeDocument/2006/relationships/hyperlink" Target="https://www.fzmiopio.ba/?lang=ba" TargetMode="External"/><Relationship Id="rId5" Type="http://schemas.openxmlformats.org/officeDocument/2006/relationships/hyperlink" Target="https://kcsr.ba/file/kcsr6/263" TargetMode="External"/><Relationship Id="rId90" Type="http://schemas.microsoft.com/office/2017/10/relationships/threadedComment" Target="../threadedComments/threadedComment2.xm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www.gcs.ba/publikacija/zahtjev%20za%20kucnu%20njegu.pdf" TargetMode="External"/><Relationship Id="rId77" Type="http://schemas.openxmlformats.org/officeDocument/2006/relationships/hyperlink" Target="https://www.fzmiopio.ba/wp-content/uploads/2022/06/dizpsb-1.pdf" TargetMode="Externa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POSLOVNIK-O-RADU-KOMISIJE-ZA-TESKO-OBOLJELU-DJECU-SA-KS-IZVAN-KS.pdf" TargetMode="External"/><Relationship Id="rId80" Type="http://schemas.openxmlformats.org/officeDocument/2006/relationships/hyperlink" Target="mailto:sonja.toholj@fzmiopio.ba" TargetMode="External"/><Relationship Id="rId85" Type="http://schemas.openxmlformats.org/officeDocument/2006/relationships/hyperlink" Target="mailto:mirsada@kcsr.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mup.ks.gov.ba/sites/mup.ks.gov.ba/files/2023-01/obrasci_znak_pristupacnosti.pdf"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https://www.kzzosa.ba/wp-content/uploads/2023/08/Uputstvo-o-nacinu-i-postupku-ostvarivanja-prava-na-koristenje-medicinskih-sredstava-u-ZZO-KS-11_22.pdf" TargetMode="External"/><Relationship Id="rId75" Type="http://schemas.openxmlformats.org/officeDocument/2006/relationships/hyperlink" Target="https://www.fzmiopio.ba/?lang=ba" TargetMode="External"/><Relationship Id="rId83" Type="http://schemas.openxmlformats.org/officeDocument/2006/relationships/hyperlink" Target="https://www.fzmiopio.ba/wp-content/uploads/2022/06/dntb.pdf" TargetMode="External"/><Relationship Id="rId88" Type="http://schemas.openxmlformats.org/officeDocument/2006/relationships/table" Target="../tables/table2.xm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covid_lijek_pravilnik_20220516-1.pdf" TargetMode="External"/><Relationship Id="rId78" Type="http://schemas.openxmlformats.org/officeDocument/2006/relationships/hyperlink" Target="https://www.fzmiopio.ba/wp-content/uploads/2022/11/inavlidska_policija_bos.pdf" TargetMode="External"/><Relationship Id="rId81" Type="http://schemas.openxmlformats.org/officeDocument/2006/relationships/hyperlink" Target="mailto:sonja.toholj@fzmiopio.ba" TargetMode="External"/><Relationship Id="rId86" Type="http://schemas.openxmlformats.org/officeDocument/2006/relationships/printerSettings" Target="../printerSettings/printerSettings2.bin"/><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hyperlink" Target="mailto:sonja.toholj@fzmiopio.ba" TargetMode="External"/><Relationship Id="rId7" Type="http://schemas.openxmlformats.org/officeDocument/2006/relationships/hyperlink" Target="https://kcsr.ba/" TargetMode="External"/><Relationship Id="rId71" Type="http://schemas.openxmlformats.org/officeDocument/2006/relationships/hyperlink" Target="https://www.kzzosa.ba/wp-content/uploads/2023/08/Procedura-o-utvrdjivanju-prava-osiguranih-osoba-na-medicinsku-rehabilitaciju-11_2022.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66" Type="http://schemas.openxmlformats.org/officeDocument/2006/relationships/hyperlink" Target="mailto:info@kzzosa.ba" TargetMode="External"/><Relationship Id="rId87" Type="http://schemas.openxmlformats.org/officeDocument/2006/relationships/vmlDrawing" Target="../drawings/vmlDrawing2.vml"/><Relationship Id="rId61" Type="http://schemas.openxmlformats.org/officeDocument/2006/relationships/hyperlink" Target="mailto:info@kzzosa.ba" TargetMode="External"/><Relationship Id="rId82" Type="http://schemas.openxmlformats.org/officeDocument/2006/relationships/hyperlink" Target="https://www.fzmiopio.ba/?lang=ba" TargetMode="External"/><Relationship Id="rId19" Type="http://schemas.openxmlformats.org/officeDocument/2006/relationships/hyperlink" Target="https://kcsr.ba/file/kcsr21/274"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sf.unsa.ba/pruzanje-oralno-hirurskih-i-stomatoloskih-usluga-za-djecu-sa-poteskocama-u-razvoju/" TargetMode="External"/><Relationship Id="rId18" Type="http://schemas.openxmlformats.org/officeDocument/2006/relationships/hyperlink" Target="https://www.kzzosa.ba/" TargetMode="External"/><Relationship Id="rId26" Type="http://schemas.openxmlformats.org/officeDocument/2006/relationships/table" Target="../tables/table3.xml"/><Relationship Id="rId3" Type="http://schemas.openxmlformats.org/officeDocument/2006/relationships/hyperlink" Target="https://mo.ks.gov.ba/kontakti" TargetMode="External"/><Relationship Id="rId21" Type="http://schemas.openxmlformats.org/officeDocument/2006/relationships/hyperlink" Target="https://www.zfbh.ba/kontakt/" TargetMode="External"/><Relationship Id="rId7" Type="http://schemas.openxmlformats.org/officeDocument/2006/relationships/hyperlink" Target="mailto:sejda.topalovic@opcinailidza.ba" TargetMode="External"/><Relationship Id="rId12" Type="http://schemas.openxmlformats.org/officeDocument/2006/relationships/hyperlink" Target="mailto:sejda.topalovic@opcinailidza.ba" TargetMode="External"/><Relationship Id="rId17" Type="http://schemas.openxmlformats.org/officeDocument/2006/relationships/hyperlink" Target="http://www.sluzbenilist.ba/page/akt/lbKAkKGaEwg=&#8211;%20Odlukom%20nadzornog%20odbora%20&#381;eljeznica%20BiH" TargetMode="External"/><Relationship Id="rId25" Type="http://schemas.openxmlformats.org/officeDocument/2006/relationships/hyperlink" Target="https://www.centar.ba/documents/preview/53971/javni-poziv-za-dodjelu-jednokratne-novcane-pomoci-putem-sufinansiranja-troskova-nabavke-ortopedskih-pomagala-i-prilagodjavanje-stambenih-objekata-i-motornih-vozila-invalidnim-licima" TargetMode="External"/><Relationship Id="rId2" Type="http://schemas.openxmlformats.org/officeDocument/2006/relationships/hyperlink" Target="mailto:mo@mo.ks.gov.ba" TargetMode="External"/><Relationship Id="rId16" Type="http://schemas.openxmlformats.org/officeDocument/2006/relationships/hyperlink" Target="https://mojwebshop.bhtelecom.ba/INTERSHOP/web/BOS/BHTelecomWebShop-BHTelecom-Site/bs_BA/-/BAM/ViewProduct-Start?SKU=100003" TargetMode="External"/><Relationship Id="rId20" Type="http://schemas.openxmlformats.org/officeDocument/2006/relationships/hyperlink" Target="mailto:kabinet@zfbh.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 Type="http://schemas.openxmlformats.org/officeDocument/2006/relationships/hyperlink" Target="https://www.centar.ba/gradjani/put-do-prava/porodica/treca-zivotna-dob"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23" Type="http://schemas.openxmlformats.org/officeDocument/2006/relationships/hyperlink" Target="https://porodicno.ba/"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mailto:info@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 Id="rId22" Type="http://schemas.openxmlformats.org/officeDocument/2006/relationships/hyperlink" Target="https://porodicno.ba/"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3"/>
  <sheetViews>
    <sheetView workbookViewId="0">
      <selection activeCell="O2" sqref="O2"/>
    </sheetView>
  </sheetViews>
  <sheetFormatPr defaultColWidth="8.85546875" defaultRowHeight="15"/>
  <cols>
    <col min="1" max="3" width="8.140625" customWidth="1"/>
  </cols>
  <sheetData>
    <row r="1" spans="1:15" ht="17.45" customHeight="1">
      <c r="A1" s="13" t="str" cm="1">
        <f t="array" ref="A1">_xlfn._xlws.FILTER('Administrativni postupci'!$B$2:$B$95,ISNUMBER(SEARCH("Novorođenče",'Administrativni postupci'!$D$2:$D$95)), "0")</f>
        <v>0</v>
      </c>
      <c r="B1" s="14" t="str" cm="1">
        <f t="array" ref="B1">_xlfn._xlws.FILTER('Diskrecione usluge'!$A$2:$A$92,ISNUMBER(SEARCH("Novorođenče",'Diskrecione usluge'!$D$2:$D$92)), "0")</f>
        <v>0</v>
      </c>
      <c r="C1" s="13" t="str" cm="1">
        <f t="array" ref="C1">_xlfn._xlws.FILTER('Neinstitucionalizirana prava'!$A$2:$A$97,ISNUMBER(SEARCH("Novorođenče",'Neinstitucionalizirana prava'!$C$2:$C$97)), "0")</f>
        <v>0</v>
      </c>
      <c r="D1" t="str" cm="1">
        <f t="array" ref="D1:D15">_xlfn._xlws.FILTER('Administrativni postupci'!$B$2:$B$95,ISNUMBER(SEARCH("Predškolska dob",'Administrativni postupci'!$D$2:$D$95)),"0")</f>
        <v>Jednokratna novčana pomoć licima i domaćinstvima sa područja općine Novo Sarajevo</v>
      </c>
      <c r="E1" t="str" cm="1">
        <f t="array" ref="E1:E16">_xlfn._xlws.FILTER('Diskrecione usluge'!$A$2:$A$92,ISNUMBER(SEARCH("Predškolska dob",'Diskrecione usluge'!$D$2:$D$92)),"0")</f>
        <v>Ambulanta "Sve na jednom mjestu" za djecu i osobe s poteškoćama u razvoju</v>
      </c>
      <c r="F1" t="str" cm="1">
        <f t="array" ref="F1:F3">_xlfn._xlws.FILTER('Neinstitucionalizirana prava'!$A$2:$A$97,ISNUMBER(SEARCH("Predškolska dob",'Neinstitucionalizirana prava'!$C$2:$C$97)),"0")</f>
        <v>Pravo na penziju korsnika ili roditelja/staratelja</v>
      </c>
      <c r="G1" s="13" t="str" cm="1">
        <f t="array" ref="G1:G16">_xlfn._xlws.FILTER('Administrativni postupci'!$B$2:$B$95,ISNUMBER(SEARCH("Školska dob",'Administrativni postupci'!$D$2:$D$95)),"0")</f>
        <v>Jednokratna novčana pomoć licima i domaćinstvima sa područja općine Novo Sarajevo</v>
      </c>
      <c r="H1" s="13" t="str" cm="1">
        <f t="array" ref="H1:H18">_xlfn._xlws.FILTER('Diskrecione usluge'!$A$2:$A$92,ISNUMBER(SEARCH("Školska dob",'Diskrecione usluge'!$D$2:$D$92)),"0")</f>
        <v>Ambulanta "Sve na jednom mjestu" za djecu i osobe s poteškoćama u razvoju</v>
      </c>
      <c r="I1" s="13" t="str" cm="1">
        <f t="array" ref="I1:I6">_xlfn._xlws.FILTER('Neinstitucionalizirana prava'!$A$2:$A$97,ISNUMBER(SEARCH("Školska dob",'Neinstitucionalizirana prava'!$C$2:$C$97)),"0")</f>
        <v>Pravo na dnevni boravak u posebnim ustanovama ili smještaj u domovima tokom obrazovanja. Potpuno pokriće troškova dnevnog boravka od strane Centra</v>
      </c>
      <c r="J1" t="str" cm="1">
        <f t="array" ref="J1:J17">_xlfn._xlws.FILTER('Administrativni postupci'!$B$2:$B$95,ISNUMBER(SEARCH("Radni vijek",'Administrativni postupci'!$D$2:$D$95)),"0")</f>
        <v xml:space="preserve">Izdavanje međunarodnog znaka pristupačnosti </v>
      </c>
      <c r="K1" t="str" cm="1">
        <f t="array" ref="K1:K13">_xlfn._xlws.FILTER('Diskrecione usluge'!$A$2:$A$92,ISNUMBER(SEARCH("Radni vijek",'Diskrecione usluge'!$D$2:$D$92)),"0")</f>
        <v>Ambulanta "Sve na jednom mjestu" za djecu i osobe s poteškoćama u razvoju</v>
      </c>
      <c r="L1" t="str" cm="1">
        <f t="array" ref="L1:L6">_xlfn._xlws.FILTER('Neinstitucionalizirana prava'!$A$2:$A$97,ISNUMBER(SEARCH("Radni vijek",'Neinstitucionalizirana prava'!$C$2:$C$97)),"0")</f>
        <v>Pravo na kućnu njegu</v>
      </c>
      <c r="M1" s="13" t="str" cm="1">
        <f t="array" ref="M1:M23">_xlfn._xlws.FILTER('Administrativni postupci'!$B$2:$B$95,ISNUMBER(SEARCH("Treća životna dob",'Administrativni postupci'!$D$2:$D$95)),"0")</f>
        <v>Usluga dnevnog ili poludnevnog boravka u Centar za dnevni boravak – Gerontološki centar</v>
      </c>
      <c r="N1" s="13" t="str" cm="1">
        <f t="array" ref="N1:N13">_xlfn._xlws.FILTER('Diskrecione usluge'!$A$2:$A$92,ISNUMBER(SEARCH("Treća životna dob",'Diskrecione usluge'!$D$2:$D$92)),"0")</f>
        <v>Ambulanta "Sve na jednom mjestu" za djecu i osobe s poteškoćama u razvoju</v>
      </c>
      <c r="O1" s="13" t="str" cm="1">
        <f t="array" ref="O1">_xlfn._xlws.FILTER('Neinstitucionalizirana prava'!$A$2:$A$97,ISNUMBER(SEARCH("Treća životna dob",'Neinstitucionalizirana prava'!$C$2:$C$97)),"0")</f>
        <v>Pravo na kućnu njegu</v>
      </c>
    </row>
    <row r="2" spans="1:15">
      <c r="A2" s="13"/>
      <c r="B2" s="13"/>
      <c r="C2" s="13"/>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roditelja/staratelja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 korsnika ili roditelja/staratelja</v>
      </c>
      <c r="J2" t="str">
        <v>Jednokratna novčana pomoć licima i domaćinstvima sa područja općine Novo Sarajevo</v>
      </c>
      <c r="K2" t="str">
        <v>Jednokratna novčana pomoć za invalidna lica</v>
      </c>
      <c r="L2" t="str">
        <v>Pravo na penziju korsnika ili roditelja/staratelja</v>
      </c>
      <c r="M2" s="13" t="str">
        <v xml:space="preserve">Izdavanje međunarodnog znaka pristupačnosti </v>
      </c>
      <c r="N2" s="13" t="str">
        <v>Jednokratna novčana pomoć za invalidna lica</v>
      </c>
      <c r="O2" s="13"/>
    </row>
    <row r="3" spans="1:15">
      <c r="A3" s="13"/>
      <c r="B3" s="13"/>
      <c r="C3" s="13"/>
      <c r="D3" t="str">
        <v>Medicinska rehabilitacija/banjsko liječenje kao produženo bolničko liječenje</v>
      </c>
      <c r="E3" t="str">
        <v>Jednokratna novčana pomoć za invalidna lica</v>
      </c>
      <c r="F3" t="str">
        <v>Pravo roditelja/staratelja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Posebni programi za osobe oboljele od teških i rijetkih bolesti (npr. enteralna prehrana za djecu i odrasle, bezglutensko brašno za osobe oboljele od celijakije)</v>
      </c>
      <c r="K3" t="str">
        <v xml:space="preserve">Jednokratna novčana pomoć za teško bolesne osobe </v>
      </c>
      <c r="L3" t="str">
        <v>Pravo na skraćeno radno vrijeme, zaštita od prekovremenog rada i rada noću, kao i zaštita od promjene mjesta rada</v>
      </c>
      <c r="M3" s="13" t="str">
        <v>Jednokratna novčana pomoć licima i domaćinstvima sa područja općine Novo Sarajevo</v>
      </c>
      <c r="N3" s="13" t="str">
        <v>Jednokratna novčana pomoć za stanovnike starije od 80 godina</v>
      </c>
      <c r="O3" s="13"/>
    </row>
    <row r="4" spans="1:15">
      <c r="A4" s="13"/>
      <c r="B4" s="13"/>
      <c r="C4" s="13"/>
      <c r="D4" t="str">
        <v>Medicinska sredstva - ortopedska pomagala (npr. invalidska kolica, pelene, GPS narukvice za djecu, perike od prirodne kose za djecu, senzori, inzulinske pumpice)</v>
      </c>
      <c r="E4" t="str">
        <v xml:space="preserve">Jednokratna novčana pomoć za teško bolesne osobe </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Medicinska rehabilitacija/banjsko liječenje kao produženo bolničko liječenje</v>
      </c>
      <c r="K4" t="str">
        <v>Oslobađanje od plaćanja RTV takse za osobe koje su izgubile sluh i vid</v>
      </c>
      <c r="L4" t="str">
        <v>Pravo na zapošljavanje: povlaštena prava pri zapošljavanju u javnom sektoru</v>
      </c>
      <c r="M4" s="13" t="str">
        <v>Usluga kućne njege i pomoći u kući od strane osoblja Gerontološkog centra</v>
      </c>
      <c r="N4" s="13" t="str">
        <v xml:space="preserve">Jednokratna novčana pomoć za teško bolesne osobe </v>
      </c>
      <c r="O4" s="13"/>
    </row>
    <row r="5" spans="1:15">
      <c r="A5" s="13"/>
      <c r="B5" s="13"/>
      <c r="C5" s="13"/>
      <c r="D5" t="str">
        <v>Novčana pomoć i upućivanje na dijagnostiku i liječenje djece</v>
      </c>
      <c r="E5" t="str">
        <v>Oslobađanje od plaćanja RTV takse za osobe koje su izgubile sluh i vid</v>
      </c>
      <c r="G5" s="13" t="str">
        <v>Novčana pomoć i upućivanje na dijagnostiku i liječenje djece</v>
      </c>
      <c r="H5" s="13" t="str">
        <v xml:space="preserve">Jednokratna novčana pomoć za teško bolesne osobe </v>
      </c>
      <c r="I5" s="13" t="str">
        <v>Pravo roditelja/staratelja njegovatelja na osiguranje</v>
      </c>
      <c r="J5" t="str">
        <v>Medicinska sredstva - ortopedska pomagala (npr. invalidska kolica, pelene, GPS narukvice za djecu, perike od prirodne kose za djecu, senzori, inzulinske pumpice)</v>
      </c>
      <c r="K5" t="str">
        <v>Oslobađanje plaćanja  uvoznih dadžbina, carine i PDV-a prilikom uvoza automobila</v>
      </c>
      <c r="L5" t="str">
        <v>Pravo roditelja/staratelja njegovatelja na osiguranje</v>
      </c>
      <c r="M5" s="13" t="str">
        <v>Kupovina lijekova penzionerima i licima preko 60 godina starosti bez primanja</v>
      </c>
      <c r="N5" s="13" t="str">
        <v>Oslobađanje od plaćanja RTV takse za osobe koje su izgubile sluh i vid</v>
      </c>
      <c r="O5" s="13"/>
    </row>
    <row r="6" spans="1:15">
      <c r="A6" s="13"/>
      <c r="B6" s="13"/>
      <c r="C6" s="13"/>
      <c r="D6" t="str">
        <v>Novčana pomoć za nabavku GPS narukvica</v>
      </c>
      <c r="E6" t="str">
        <v>Oslobađanje plaćanja  uvoznih dadžbina, carine i PDV-a prilikom uvoza automobila</v>
      </c>
      <c r="G6" s="13" t="str">
        <v>Novčana pomoć za nabavku GPS narukvica</v>
      </c>
      <c r="H6" s="13" t="str">
        <v>Oslobađanje od plaćanja RTV takse za osobe koje su izgubile sluh i vid</v>
      </c>
      <c r="I6" s="13" t="str">
        <v>Pravo roditelja/staratelja njegovatelja na pokrivanje troškova sahrane/dženaze</v>
      </c>
      <c r="J6" t="str">
        <v>Medicinsko - sanitetski materijal za RVI sa područja Kantona Sarajevo</v>
      </c>
      <c r="K6" t="str">
        <v xml:space="preserve">Osnovni paket fiksne telefonije - socijalni </v>
      </c>
      <c r="L6" t="str">
        <v>Pravo roditelja/staratelja njegovatelja na pokrivanje troškova sahrane/dženaze</v>
      </c>
      <c r="M6" s="13" t="str">
        <v>Posebni programi za osobe oboljele od teških i rijetkih bolesti (npr. enteralna prehrana za djecu i odrasle, bezglutensko brašno za osobe oboljele od celijakije)</v>
      </c>
      <c r="N6" s="13" t="str">
        <v>Oslobađanje plaćanja  uvoznih dadžbina, carine i PDV-a prilikom uvoza automobila</v>
      </c>
      <c r="O6" s="13"/>
    </row>
    <row r="7" spans="1:15">
      <c r="A7" s="13"/>
      <c r="B7" s="13"/>
      <c r="C7" s="13"/>
      <c r="D7" t="str">
        <v>Ocjenjivanje sposobnosti, razvrstavanje djece i omladine ometene u psiho-fizičkom razvoju</v>
      </c>
      <c r="E7" t="str">
        <v xml:space="preserve">Osnovni paket fiksne telefonije - socijalni </v>
      </c>
      <c r="G7" s="13" t="str">
        <v>Ocjenjivanje sposobnosti, razvrstavanje djece i omladine ometene u psiho-fizičkom razvoju</v>
      </c>
      <c r="H7" s="13" t="str">
        <v>Oslobađanje plaćanja  uvoznih dadžbina, carine i PDV-a prilikom uvoza automobila</v>
      </c>
      <c r="I7" s="13"/>
      <c r="J7" t="str">
        <v>Pravo na ličnu invalidninu, dodatak za njegu i pomoć drugog lica i ortopedski dodatak</v>
      </c>
      <c r="K7" t="str">
        <v>Umanjenje poreza na dohodak za zaposlene</v>
      </c>
      <c r="M7" s="13" t="str">
        <v>Medicinska rehabilitacija/banjsko liječenje kao produženo bolničko liječenje</v>
      </c>
      <c r="N7" s="13" t="str">
        <v xml:space="preserve">Osnovni paket fiksne telefonije - socijalni </v>
      </c>
      <c r="O7" s="13"/>
    </row>
    <row r="8" spans="1:15">
      <c r="A8" s="13"/>
      <c r="B8" s="13"/>
      <c r="C8" s="13"/>
      <c r="D8" t="str">
        <v>Pravo na ličnu invalidninu, dodatak za njegu i pomoć drugog lica i ortopedski dodatak</v>
      </c>
      <c r="E8" t="str">
        <v>Umanjenje poreza na dohodak za zaposlene</v>
      </c>
      <c r="G8" s="13" t="str">
        <v>Osposobljavanje za samostalan život i rad kroz srednje obrazovanje</v>
      </c>
      <c r="H8" s="13" t="str">
        <v xml:space="preserve">Osnovni paket fiksne telefonije - socijalni </v>
      </c>
      <c r="I8" s="13"/>
      <c r="J8" t="str">
        <v>Pravo na novčanu naknadu za vrijeme čekanja na zaposlenje</v>
      </c>
      <c r="K8" t="str">
        <v>Posebna ishrana - enteralna prehrana za djecu i odrasle; bezglutensko brašno za oboljele od celijaklije</v>
      </c>
      <c r="M8" s="13" t="str">
        <v>Medicinska sredstva - ortopedska pomagala (npr. invalidska kolica, pelene, GPS narukvice za djecu, perike od prirodne kose za djecu, senzori, inzulinske pumpice)</v>
      </c>
      <c r="N8" s="13" t="str">
        <v>Posebna ishrana - enteralna prehrana za djecu i odrasle; bezglutensko brašno za oboljele od celijaklije</v>
      </c>
      <c r="O8" s="13"/>
    </row>
    <row r="9" spans="1:15">
      <c r="A9" s="13"/>
      <c r="B9" s="13"/>
      <c r="C9" s="13"/>
      <c r="D9" t="str">
        <v>Pravo na stalnu novčanu pomoć</v>
      </c>
      <c r="E9" t="str">
        <v>Posebna ishrana - enteralna prehrana za djecu i odrasle; bezglutensko brašno za oboljele od celijaklije</v>
      </c>
      <c r="G9" s="13" t="str">
        <v>Pravo na ličnu invalidninu, dodatak za njegu i pomoć drugog lica i ortopedski dodatak</v>
      </c>
      <c r="H9" s="13" t="str">
        <v>Umanjenje poreza na dohodak za zaposlene</v>
      </c>
      <c r="I9" s="13"/>
      <c r="J9" t="str">
        <v>Pravo na poslovnu rehabilitaciju</v>
      </c>
      <c r="K9" t="str">
        <v>Povlastice u željezničkom saobraćaju</v>
      </c>
      <c r="M9" s="13" t="str">
        <v>Medicinsko - sanitetski materijal za RVI sa područja Kantona Sarajevo</v>
      </c>
      <c r="N9" s="13" t="str">
        <v>Povlastice u željezničkom saobraćaju</v>
      </c>
      <c r="O9" s="13"/>
    </row>
    <row r="10" spans="1:15">
      <c r="A10" s="13"/>
      <c r="B10" s="13"/>
      <c r="C10" s="13"/>
      <c r="D10" t="str">
        <v xml:space="preserve">Pravo na zdravstvenu zaštitu </v>
      </c>
      <c r="E10" t="str">
        <v>Povlastice u željezničkom saobraćaju</v>
      </c>
      <c r="G10" s="13" t="str">
        <v>Pravo na stalnu novčanu pomoć</v>
      </c>
      <c r="H10" s="13" t="str">
        <v>Posebna ishrana - enteralna prehrana za djecu i odrasle; bezglutensko brašno za oboljele od celijaklije</v>
      </c>
      <c r="I10" s="13"/>
      <c r="J10" t="str">
        <v>Pravo na stalnu novčanu pomoć</v>
      </c>
      <c r="K10" t="str">
        <v xml:space="preserve">Prednost u primanju usluga u zdravstvenom i drugim institucijama </v>
      </c>
      <c r="M10" s="13" t="str">
        <v>Pravo na ličnu invalidninu, dodatak za njegu i pomoć drugog lica i ortopedski dodatak</v>
      </c>
      <c r="N10" s="13" t="str">
        <v xml:space="preserve">Prednost u primanju usluga u zdravstvenom i drugim institucijama </v>
      </c>
      <c r="O10" s="13"/>
    </row>
    <row r="11" spans="1:15">
      <c r="A11" s="13"/>
      <c r="B11" s="13"/>
      <c r="C11" s="13"/>
      <c r="D11" t="str">
        <v>Priznavanje statusa roditelja njegovatelja</v>
      </c>
      <c r="E11"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G11" s="13" t="str">
        <v xml:space="preserve">Pravo na zdravstvenu zaštitu </v>
      </c>
      <c r="H11" s="13" t="str">
        <v>Povlastice u željezničkom saobraćaju</v>
      </c>
      <c r="I11" s="13"/>
      <c r="J11" t="str">
        <v xml:space="preserve">Pravo na zdravstvenu zaštitu </v>
      </c>
      <c r="K11" t="str">
        <v>Usluge savjetodavno-terapeutskog rada (individualno, psihološko, grupno, porodično savjetovanje i tretman)</v>
      </c>
      <c r="M11" s="13" t="str">
        <v>Pravo na novčanu naknadu za pomoć i njegu od strane druge osobe (lica iznad 65 godina života)</v>
      </c>
      <c r="N11" s="13" t="str">
        <v>Usluge savjetodavno-terapeutskog rada (individualno, psihološko, grupno, porodično savjetovanje i tretman)</v>
      </c>
      <c r="O11" s="13"/>
    </row>
    <row r="12" spans="1:15">
      <c r="D12" t="str">
        <v>Refundacija troškova lijekova i liječenja</v>
      </c>
      <c r="E12" t="str">
        <v>Pružanje oralno-hirurških i stomatoloških usluga za djecu sa poteškoćama u razvoju</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Priznavanje statusa roditelja njegovatelja</v>
      </c>
      <c r="K12" t="str">
        <v>Usluge psihosocijalne podrške grupama korisnika sa istim ili sličnim problemima ( grupno savjetovanje i tretman)</v>
      </c>
      <c r="M12" t="str">
        <v>Pravo na stalnu novčanu pomoć</v>
      </c>
      <c r="N12" t="str">
        <v>Usluge psihosocijalne podrške grupama korisnika sa istim ili sličnim problemima ( grupno savjetovanje i tretman)</v>
      </c>
    </row>
    <row r="13" spans="1:15">
      <c r="D13" t="str">
        <v>Smještaj u hospis</v>
      </c>
      <c r="E13" t="str">
        <v>Subvencija  za djecu istih roditelja - oslobađanje plaćanja vrtića za braću i sestre djeteta sa poteškoćama u razvoju</v>
      </c>
      <c r="G13" t="str">
        <v>Refundacija troškova lijekova i liječenja</v>
      </c>
      <c r="H13" t="str">
        <v>Pravo na individualni prilagođeni program (IPP) – IPP1 IPP2 IPP3</v>
      </c>
      <c r="J13" t="str">
        <v>Refundacija troškova lijekova i liječenja</v>
      </c>
      <c r="K13" t="str">
        <v xml:space="preserve">Pravo na dodjelu jednokratne novčane pomoći putem sufinansiranja troškova nabavke ortopedskih pomagala i prilagođavanja stambenih objekata i motornih vozila individualnim licima </v>
      </c>
      <c r="M13" t="str">
        <v xml:space="preserve">Pravo na zdravstvenu zaštitu </v>
      </c>
      <c r="N13" t="str">
        <v xml:space="preserve">Pravo na dodjelu jednokratne novčane pomoći putem sufinansiranja troškova nabavke ortopedskih pomagala i prilagođavanja stambenih objekata i motornih vozila individualnim licima </v>
      </c>
    </row>
    <row r="14" spans="1:15">
      <c r="D14" t="str">
        <v>Smještaj u ustanovu, njega, rehabilitacija i socijalna zaštita – Dom za djecu bez roditeljskog staranja</v>
      </c>
      <c r="E14" t="str">
        <v>Uvećani dječiji doplatak</v>
      </c>
      <c r="G14" t="str">
        <v>Smještaj u hospis</v>
      </c>
      <c r="H14" t="str">
        <v>Pružanje oralno-hirurških i stomatoloških usluga za djecu sa poteškoćama u razvoju</v>
      </c>
      <c r="J14" t="str">
        <v>Smještaj u hospis</v>
      </c>
      <c r="M14" t="str">
        <v>Refundacija troškova lijekova i liječenja</v>
      </c>
    </row>
    <row r="15" spans="1:15">
      <c r="D15" t="str">
        <v>Sufinansiranje troškova prijevoza djece sa poteškoćama u kretanju</v>
      </c>
      <c r="E15" t="str">
        <v xml:space="preserve">Prednost u primanju usluga u zdravstvenom i drugim institucijama </v>
      </c>
      <c r="G15" t="str">
        <v>Smještaj u ustanovu, njega, rehabilitacija i socijalna zaštita – Dom za djecu bez roditeljskog staranja</v>
      </c>
      <c r="H15" t="str">
        <v>Subvencija  za djecu istih roditelja - oslobađanje plaćanja vrtića za braću i sestre djeteta sa poteškoćama u razvoju</v>
      </c>
      <c r="J15" t="str">
        <v>Pravo na invalidsku penziju/mirovinu</v>
      </c>
      <c r="M15" t="str">
        <v>Smještaj u Gerontološki centar – Privatni ugovori potpisani sa fizičkim licima</v>
      </c>
    </row>
    <row r="16" spans="1:15">
      <c r="E16" t="str">
        <v xml:space="preserve">Pravo na dodjelu jednokratne novčane pomoći putem sufinansiranja troškova nabavke ortopedskih pomagala i prilagođavanja stambenih objekata i motornih vozila individualnim licima </v>
      </c>
      <c r="G16" t="str">
        <v>Sufinansiranje troškova prijevoza djece sa poteškoćama u kretanju</v>
      </c>
      <c r="H16" t="str">
        <v>Uvećani dječiji doplatak</v>
      </c>
      <c r="J16" t="str">
        <v>Pravo na invalidsku penziju/mirovinu za policijske službenike</v>
      </c>
      <c r="M16" t="str">
        <v>Smještaj u hospis</v>
      </c>
    </row>
    <row r="17" spans="8:13">
      <c r="H17" t="str">
        <v xml:space="preserve">Prednost u primanju usluga u zdravstvenom i drugim institucijama </v>
      </c>
      <c r="J17" t="str">
        <v>Naknada za fizičku onesposobljenost kao rezultat rada</v>
      </c>
      <c r="M17" t="str">
        <v>Smještaj u ustanovu, njega, rehabilitacija i socijalna zaštita – Gerontološki centar</v>
      </c>
    </row>
    <row r="18" spans="8:13">
      <c r="H18" t="str">
        <v xml:space="preserve">Pravo na dodjelu jednokratne novčane pomoći putem sufinansiranja troškova nabavke ortopedskih pomagala i prilagođavanja stambenih objekata i motornih vozila individualnim licima </v>
      </c>
      <c r="M18" t="str">
        <v>Stalna novčana pomoć za kupovinu hljeba i mlijeka lica starija od 60 godina bez primanja</v>
      </c>
    </row>
    <row r="19" spans="8:13">
      <c r="M19" t="str">
        <v>Stalna novčana pomoć za kupovinu hljeba i mlijeka penzioneri sa minimalnom penzijom</v>
      </c>
    </row>
    <row r="20" spans="8:13">
      <c r="M20" t="str">
        <v>Zdravstvena zaštita starijih od 65 godina</v>
      </c>
    </row>
    <row r="21" spans="8:13">
      <c r="M21" t="str">
        <v>Pravo na invalidsku penziju/mirovinu</v>
      </c>
    </row>
    <row r="22" spans="8:13">
      <c r="M22" t="str">
        <v>Pravo na invalidsku penziju/mirovinu za policijske službenike</v>
      </c>
    </row>
    <row r="23" spans="8:13">
      <c r="M23" t="str">
        <v>Naknada za fizičku onesposobljenost kao rezultat rada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5"/>
  <cols>
    <col min="1" max="1" width="35.85546875" customWidth="1"/>
    <col min="2" max="2" width="125.140625" customWidth="1"/>
    <col min="3" max="3" width="255.5703125" bestFit="1" customWidth="1"/>
    <col min="4" max="4" width="11" bestFit="1" customWidth="1"/>
    <col min="5" max="5" width="11.7109375" bestFit="1" customWidth="1"/>
    <col min="6" max="6" width="17.140625" bestFit="1" customWidth="1"/>
    <col min="7" max="7" width="11.7109375" bestFit="1" customWidth="1"/>
    <col min="8" max="8" width="54.7109375" bestFit="1" customWidth="1"/>
    <col min="9" max="9" width="62.5703125" bestFit="1" customWidth="1"/>
    <col min="10" max="10" width="67" bestFit="1" customWidth="1"/>
    <col min="11" max="11" width="38.42578125" bestFit="1" customWidth="1"/>
    <col min="12" max="12" width="65.5703125" bestFit="1" customWidth="1"/>
    <col min="13" max="13" width="38.28515625" bestFit="1" customWidth="1"/>
    <col min="14" max="14" width="60" bestFit="1" customWidth="1"/>
    <col min="15" max="15" width="52" bestFit="1" customWidth="1"/>
    <col min="16" max="16" width="36.85546875" bestFit="1" customWidth="1"/>
    <col min="17" max="17" width="78.42578125" bestFit="1" customWidth="1"/>
    <col min="18" max="18" width="60.140625" bestFit="1" customWidth="1"/>
    <col min="19" max="19" width="71.28515625" bestFit="1" customWidth="1"/>
    <col min="20" max="20" width="19" bestFit="1" customWidth="1"/>
    <col min="21" max="21" width="36.140625" bestFit="1" customWidth="1"/>
    <col min="22" max="22" width="58.42578125" bestFit="1" customWidth="1"/>
    <col min="23" max="23" width="64.140625" bestFit="1" customWidth="1"/>
    <col min="24" max="24" width="15.140625" bestFit="1" customWidth="1"/>
    <col min="25" max="25" width="32" bestFit="1" customWidth="1"/>
    <col min="26" max="26" width="133" bestFit="1" customWidth="1"/>
    <col min="27" max="27" width="255.5703125" bestFit="1" customWidth="1"/>
    <col min="28" max="28" width="55.28515625" bestFit="1" customWidth="1"/>
    <col min="29" max="29" width="19" bestFit="1" customWidth="1"/>
    <col min="30" max="30" width="73.42578125" bestFit="1" customWidth="1"/>
    <col min="31" max="31" width="82.140625" bestFit="1" customWidth="1"/>
    <col min="32" max="32" width="52.28515625" bestFit="1" customWidth="1"/>
    <col min="33" max="33" width="14.42578125" bestFit="1" customWidth="1"/>
    <col min="34" max="34" width="14.85546875" bestFit="1" customWidth="1"/>
    <col min="35" max="35" width="28" bestFit="1" customWidth="1"/>
    <col min="36" max="36" width="28.85546875" bestFit="1" customWidth="1"/>
    <col min="37" max="37" width="100" bestFit="1" customWidth="1"/>
    <col min="38" max="38" width="56.28515625" bestFit="1" customWidth="1"/>
    <col min="39" max="39" width="27.85546875" bestFit="1" customWidth="1"/>
    <col min="40" max="40" width="66.42578125" bestFit="1" customWidth="1"/>
    <col min="41" max="41" width="25.28515625" bestFit="1" customWidth="1"/>
    <col min="42" max="42" width="36.140625" bestFit="1" customWidth="1"/>
    <col min="43" max="43" width="59.5703125" bestFit="1" customWidth="1"/>
    <col min="44" max="44" width="57.28515625" bestFit="1" customWidth="1"/>
    <col min="45" max="45" width="36" bestFit="1" customWidth="1"/>
    <col min="46" max="46" width="72.140625" bestFit="1" customWidth="1"/>
    <col min="47" max="47" width="34.140625" bestFit="1" customWidth="1"/>
    <col min="48" max="48" width="65.42578125" bestFit="1" customWidth="1"/>
    <col min="49" max="49" width="15.42578125" bestFit="1" customWidth="1"/>
    <col min="50" max="50" width="85.7109375" bestFit="1" customWidth="1"/>
    <col min="51" max="51" width="69.5703125" bestFit="1" customWidth="1"/>
    <col min="52" max="52" width="76.140625" bestFit="1" customWidth="1"/>
    <col min="53" max="53" width="75.42578125" bestFit="1" customWidth="1"/>
    <col min="54" max="54" width="98" bestFit="1" customWidth="1"/>
    <col min="55" max="55" width="57.7109375" bestFit="1" customWidth="1"/>
    <col min="56" max="56" width="25.140625" bestFit="1" customWidth="1"/>
    <col min="57" max="57" width="77.7109375" bestFit="1" customWidth="1"/>
    <col min="58" max="58" width="64.5703125" bestFit="1" customWidth="1"/>
    <col min="59" max="59" width="24.85546875" bestFit="1" customWidth="1"/>
    <col min="60" max="60" width="20.85546875" bestFit="1" customWidth="1"/>
    <col min="61" max="61" width="35.140625" bestFit="1" customWidth="1"/>
    <col min="62" max="62" width="10.7109375" bestFit="1" customWidth="1"/>
    <col min="63" max="63" width="24.85546875" bestFit="1" customWidth="1"/>
    <col min="64" max="64" width="20.85546875" bestFit="1" customWidth="1"/>
    <col min="65" max="65" width="19.5703125" bestFit="1" customWidth="1"/>
    <col min="66" max="66" width="67.140625" bestFit="1" customWidth="1"/>
    <col min="67" max="67" width="40.7109375" bestFit="1" customWidth="1"/>
    <col min="68" max="68" width="74.42578125" bestFit="1" customWidth="1"/>
    <col min="69" max="69" width="39" bestFit="1" customWidth="1"/>
    <col min="70" max="70" width="62.5703125" bestFit="1" customWidth="1"/>
    <col min="71" max="71" width="38.42578125" bestFit="1" customWidth="1"/>
    <col min="72" max="72" width="65.5703125" bestFit="1" customWidth="1"/>
    <col min="73" max="73" width="38.28515625" bestFit="1" customWidth="1"/>
    <col min="74" max="74" width="60" bestFit="1" customWidth="1"/>
    <col min="75" max="75" width="60.140625" bestFit="1" customWidth="1"/>
    <col min="76" max="76" width="71.28515625" bestFit="1" customWidth="1"/>
    <col min="77" max="77" width="19" bestFit="1" customWidth="1"/>
    <col min="78" max="78" width="36.140625" bestFit="1" customWidth="1"/>
    <col min="79" max="79" width="64.140625" bestFit="1" customWidth="1"/>
    <col min="80" max="80" width="15.140625" bestFit="1" customWidth="1"/>
    <col min="81" max="81" width="32" bestFit="1" customWidth="1"/>
    <col min="82" max="82" width="19" bestFit="1" customWidth="1"/>
    <col min="83" max="83" width="73.42578125" bestFit="1" customWidth="1"/>
    <col min="84" max="84" width="52.28515625" bestFit="1" customWidth="1"/>
    <col min="85" max="85" width="14.85546875" bestFit="1" customWidth="1"/>
    <col min="86" max="86" width="28" bestFit="1" customWidth="1"/>
    <col min="87" max="87" width="100" bestFit="1" customWidth="1"/>
    <col min="88" max="88" width="27.85546875" bestFit="1" customWidth="1"/>
    <col min="89" max="89" width="66.42578125" bestFit="1" customWidth="1"/>
    <col min="90" max="90" width="25.28515625" bestFit="1" customWidth="1"/>
    <col min="91" max="91" width="36.140625" bestFit="1" customWidth="1"/>
    <col min="92" max="92" width="59.5703125" bestFit="1" customWidth="1"/>
    <col min="93" max="93" width="57.28515625" bestFit="1" customWidth="1"/>
    <col min="94" max="94" width="36" bestFit="1" customWidth="1"/>
    <col min="95" max="95" width="34.140625" bestFit="1" customWidth="1"/>
    <col min="96" max="96" width="15.42578125" bestFit="1" customWidth="1"/>
    <col min="97" max="97" width="14.7109375" bestFit="1" customWidth="1"/>
    <col min="98" max="98" width="67.140625" bestFit="1" customWidth="1"/>
    <col min="99" max="99" width="15.7109375" bestFit="1" customWidth="1"/>
    <col min="100" max="100" width="56.42578125" bestFit="1" customWidth="1"/>
    <col min="101" max="101" width="74.42578125" bestFit="1" customWidth="1"/>
    <col min="102" max="102" width="39" bestFit="1" customWidth="1"/>
    <col min="103" max="103" width="62.5703125" bestFit="1" customWidth="1"/>
    <col min="104" max="104" width="38.42578125" bestFit="1" customWidth="1"/>
    <col min="105" max="105" width="65.5703125" bestFit="1" customWidth="1"/>
    <col min="106" max="106" width="38.28515625" bestFit="1" customWidth="1"/>
    <col min="107" max="107" width="52" bestFit="1" customWidth="1"/>
    <col min="108" max="108" width="36.85546875" bestFit="1" customWidth="1"/>
    <col min="109" max="109" width="78.42578125" bestFit="1" customWidth="1"/>
    <col min="110" max="110" width="71.28515625" bestFit="1" customWidth="1"/>
    <col min="111" max="111" width="19" bestFit="1" customWidth="1"/>
    <col min="112" max="112" width="36.140625" bestFit="1" customWidth="1"/>
    <col min="113" max="113" width="58.42578125" bestFit="1" customWidth="1"/>
    <col min="114" max="114" width="64.140625" bestFit="1" customWidth="1"/>
    <col min="115" max="115" width="15.140625" bestFit="1" customWidth="1"/>
    <col min="116" max="116" width="32" bestFit="1" customWidth="1"/>
    <col min="117" max="117" width="133" bestFit="1" customWidth="1"/>
    <col min="118" max="118" width="255.5703125" bestFit="1" customWidth="1"/>
    <col min="119" max="119" width="55.28515625" bestFit="1" customWidth="1"/>
    <col min="120" max="120" width="19" bestFit="1" customWidth="1"/>
    <col min="121" max="121" width="73.42578125" bestFit="1" customWidth="1"/>
    <col min="122" max="122" width="14.85546875" bestFit="1" customWidth="1"/>
    <col min="123" max="123" width="28.85546875" bestFit="1" customWidth="1"/>
    <col min="124" max="124" width="56.28515625" bestFit="1" customWidth="1"/>
    <col min="125" max="125" width="27.85546875" bestFit="1" customWidth="1"/>
    <col min="126" max="126" width="25.28515625" bestFit="1" customWidth="1"/>
    <col min="127" max="127" width="36.140625" bestFit="1" customWidth="1"/>
    <col min="128" max="128" width="59.5703125" bestFit="1" customWidth="1"/>
    <col min="129" max="129" width="57.28515625" bestFit="1" customWidth="1"/>
    <col min="130" max="130" width="36" bestFit="1" customWidth="1"/>
    <col min="131" max="131" width="72.140625" bestFit="1" customWidth="1"/>
    <col min="132" max="132" width="34.140625" bestFit="1" customWidth="1"/>
    <col min="133" max="133" width="15.42578125" bestFit="1" customWidth="1"/>
    <col min="134" max="134" width="85.7109375" bestFit="1" customWidth="1"/>
    <col min="135" max="135" width="57.7109375" bestFit="1" customWidth="1"/>
    <col min="136" max="136" width="25.140625" bestFit="1" customWidth="1"/>
    <col min="137" max="137" width="24.85546875" bestFit="1" customWidth="1"/>
    <col min="138" max="138" width="20.85546875" bestFit="1" customWidth="1"/>
    <col min="139" max="139" width="15.5703125" bestFit="1" customWidth="1"/>
    <col min="140" max="140" width="67.140625" bestFit="1" customWidth="1"/>
    <col min="141" max="141" width="40.7109375" bestFit="1" customWidth="1"/>
    <col min="142" max="142" width="74.42578125" bestFit="1" customWidth="1"/>
    <col min="143" max="143" width="39" bestFit="1" customWidth="1"/>
    <col min="144" max="144" width="54.7109375" bestFit="1" customWidth="1"/>
    <col min="145" max="145" width="62.5703125" bestFit="1" customWidth="1"/>
    <col min="146" max="146" width="67" bestFit="1" customWidth="1"/>
    <col min="147" max="147" width="38.42578125" bestFit="1" customWidth="1"/>
    <col min="148" max="148" width="65.5703125" bestFit="1" customWidth="1"/>
    <col min="149" max="149" width="38.28515625" bestFit="1" customWidth="1"/>
    <col min="150" max="150" width="60" bestFit="1" customWidth="1"/>
    <col min="151" max="151" width="60.140625" bestFit="1" customWidth="1"/>
    <col min="152" max="152" width="71.28515625" bestFit="1" customWidth="1"/>
    <col min="153" max="153" width="19" bestFit="1" customWidth="1"/>
    <col min="154" max="154" width="36.140625" bestFit="1" customWidth="1"/>
    <col min="155" max="155" width="64.140625" bestFit="1" customWidth="1"/>
    <col min="156" max="156" width="15.140625" bestFit="1" customWidth="1"/>
    <col min="157" max="157" width="32" bestFit="1" customWidth="1"/>
    <col min="158" max="158" width="19" bestFit="1" customWidth="1"/>
    <col min="159" max="159" width="73.42578125" bestFit="1" customWidth="1"/>
    <col min="160" max="160" width="82.140625" bestFit="1" customWidth="1"/>
    <col min="161" max="161" width="14.85546875" bestFit="1" customWidth="1"/>
    <col min="162" max="162" width="27.85546875" bestFit="1" customWidth="1"/>
    <col min="163" max="163" width="25.28515625" bestFit="1" customWidth="1"/>
    <col min="164" max="164" width="36.140625" bestFit="1" customWidth="1"/>
    <col min="165" max="165" width="59.5703125" bestFit="1" customWidth="1"/>
    <col min="166" max="166" width="57.28515625" bestFit="1" customWidth="1"/>
    <col min="167" max="167" width="36" bestFit="1" customWidth="1"/>
    <col min="168" max="168" width="34.140625" bestFit="1" customWidth="1"/>
    <col min="169" max="169" width="65.42578125" bestFit="1" customWidth="1"/>
    <col min="170" max="170" width="15.42578125" bestFit="1" customWidth="1"/>
    <col min="171" max="171" width="69.5703125" bestFit="1" customWidth="1"/>
    <col min="172" max="172" width="76.140625" bestFit="1" customWidth="1"/>
    <col min="173" max="173" width="75.42578125" bestFit="1" customWidth="1"/>
    <col min="174" max="174" width="77.7109375" bestFit="1" customWidth="1"/>
    <col min="175" max="175" width="64.5703125" bestFit="1" customWidth="1"/>
    <col min="176" max="176" width="35.140625" bestFit="1" customWidth="1"/>
    <col min="177" max="177" width="20.5703125" bestFit="1" customWidth="1"/>
    <col min="178" max="178" width="10.7109375" bestFit="1" customWidth="1"/>
  </cols>
  <sheetData>
    <row r="3" spans="1:2">
      <c r="A3" s="68" t="s">
        <v>0</v>
      </c>
      <c r="B3" s="68"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7109375" defaultRowHeight="11.25"/>
  <cols>
    <col min="1" max="1" width="8.85546875" style="63" bestFit="1" customWidth="1"/>
    <col min="2" max="2" width="33.7109375" style="60" bestFit="1" customWidth="1"/>
    <col min="3" max="3" width="48.7109375" style="60" customWidth="1"/>
    <col min="4" max="4" width="14.7109375" style="60" customWidth="1"/>
    <col min="5" max="5" width="18.85546875" style="60" customWidth="1"/>
    <col min="6" max="6" width="20.140625" style="60" customWidth="1"/>
    <col min="7" max="7" width="14.7109375" style="60" customWidth="1"/>
    <col min="8" max="8" width="23.5703125" style="60" customWidth="1"/>
    <col min="9" max="9" width="15.140625" style="60" customWidth="1"/>
    <col min="10" max="10" width="19.7109375" style="60" customWidth="1"/>
    <col min="11" max="11" width="60.42578125" style="60" customWidth="1"/>
    <col min="12" max="12" width="23.42578125" style="60" customWidth="1"/>
    <col min="13" max="13" width="41.28515625" style="60" customWidth="1"/>
    <col min="14" max="14" width="24.42578125" style="60" customWidth="1"/>
    <col min="15" max="15" width="26.28515625" style="60" customWidth="1"/>
    <col min="16" max="16" width="24.28515625" style="60" bestFit="1" customWidth="1"/>
    <col min="17" max="16384" width="8.7109375" style="60"/>
  </cols>
  <sheetData>
    <row r="1" spans="1:17" s="36" customFormat="1" ht="33.6" customHeight="1">
      <c r="A1" s="69" t="s">
        <v>73</v>
      </c>
      <c r="B1" s="69" t="s">
        <v>1</v>
      </c>
      <c r="C1" s="70" t="s">
        <v>74</v>
      </c>
      <c r="D1" s="70" t="s">
        <v>0</v>
      </c>
      <c r="E1" s="71" t="s">
        <v>75</v>
      </c>
      <c r="F1" s="70" t="s">
        <v>76</v>
      </c>
      <c r="G1" s="70" t="s">
        <v>77</v>
      </c>
      <c r="H1" s="70" t="s">
        <v>78</v>
      </c>
      <c r="I1" s="70" t="s">
        <v>79</v>
      </c>
      <c r="J1" s="70" t="s">
        <v>80</v>
      </c>
      <c r="K1" s="70" t="s">
        <v>81</v>
      </c>
      <c r="L1" s="70" t="s">
        <v>82</v>
      </c>
      <c r="M1" s="70" t="s">
        <v>83</v>
      </c>
      <c r="N1" s="70" t="s">
        <v>84</v>
      </c>
      <c r="O1" s="70" t="s">
        <v>85</v>
      </c>
      <c r="P1" s="34" t="s">
        <v>86</v>
      </c>
      <c r="Q1" s="35"/>
    </row>
    <row r="2" spans="1:17" s="40" customFormat="1" ht="77.099999999999994" customHeight="1">
      <c r="A2" s="17">
        <v>22</v>
      </c>
      <c r="B2" s="19" t="s">
        <v>26</v>
      </c>
      <c r="C2" s="24" t="s">
        <v>87</v>
      </c>
      <c r="D2" s="17" t="s">
        <v>2</v>
      </c>
      <c r="E2" s="24" t="s">
        <v>88</v>
      </c>
      <c r="F2" s="24" t="s">
        <v>89</v>
      </c>
      <c r="G2" s="24" t="s">
        <v>90</v>
      </c>
      <c r="H2" s="72" t="s">
        <v>91</v>
      </c>
      <c r="I2" s="62">
        <v>38733725207</v>
      </c>
      <c r="J2" s="72" t="s">
        <v>92</v>
      </c>
      <c r="K2" s="24" t="s">
        <v>93</v>
      </c>
      <c r="L2" s="24" t="s">
        <v>94</v>
      </c>
      <c r="M2" s="24" t="s">
        <v>95</v>
      </c>
      <c r="N2" s="24" t="s">
        <v>95</v>
      </c>
      <c r="O2" s="24" t="s">
        <v>95</v>
      </c>
      <c r="P2" s="38" t="s">
        <v>96</v>
      </c>
      <c r="Q2" s="39"/>
    </row>
    <row r="3" spans="1:17" s="40" customFormat="1" ht="77.099999999999994" customHeight="1">
      <c r="A3" s="17">
        <v>46</v>
      </c>
      <c r="B3" s="19" t="s">
        <v>18</v>
      </c>
      <c r="C3" s="19"/>
      <c r="D3" s="17" t="s">
        <v>2</v>
      </c>
      <c r="E3" s="19" t="s">
        <v>88</v>
      </c>
      <c r="F3" s="19" t="s">
        <v>97</v>
      </c>
      <c r="G3" s="19"/>
      <c r="H3" s="73"/>
      <c r="I3" s="19"/>
      <c r="J3" s="73"/>
      <c r="K3" s="19"/>
      <c r="L3" s="19"/>
      <c r="M3" s="73"/>
      <c r="N3" s="73"/>
      <c r="O3" s="58"/>
      <c r="P3" s="58" t="s">
        <v>98</v>
      </c>
      <c r="Q3" s="39"/>
    </row>
    <row r="4" spans="1:17" s="40" customFormat="1" ht="77.099999999999994" customHeight="1">
      <c r="A4" s="17">
        <v>2</v>
      </c>
      <c r="B4" s="19" t="s">
        <v>4</v>
      </c>
      <c r="C4" s="19" t="s">
        <v>99</v>
      </c>
      <c r="D4" s="17" t="s">
        <v>2</v>
      </c>
      <c r="E4" s="19" t="s">
        <v>100</v>
      </c>
      <c r="F4" s="19" t="s">
        <v>101</v>
      </c>
      <c r="G4" s="19" t="s">
        <v>102</v>
      </c>
      <c r="H4" s="73" t="s">
        <v>103</v>
      </c>
      <c r="I4" s="17" t="s">
        <v>104</v>
      </c>
      <c r="J4" s="74" t="s">
        <v>105</v>
      </c>
      <c r="K4" s="19" t="s">
        <v>106</v>
      </c>
      <c r="L4" s="19" t="s">
        <v>107</v>
      </c>
      <c r="M4" s="19" t="s">
        <v>108</v>
      </c>
      <c r="N4" s="19"/>
      <c r="O4" s="19"/>
      <c r="P4" s="38" t="s">
        <v>96</v>
      </c>
      <c r="Q4" s="39"/>
    </row>
    <row r="5" spans="1:17" s="40" customFormat="1" ht="77.099999999999994" customHeight="1">
      <c r="A5" s="17">
        <v>13</v>
      </c>
      <c r="B5" s="17" t="s">
        <v>11</v>
      </c>
      <c r="C5" s="17" t="s">
        <v>109</v>
      </c>
      <c r="D5" s="17" t="s">
        <v>2</v>
      </c>
      <c r="E5" s="17" t="s">
        <v>110</v>
      </c>
      <c r="F5" s="17" t="s">
        <v>111</v>
      </c>
      <c r="G5" s="17" t="s">
        <v>112</v>
      </c>
      <c r="H5" s="75" t="s">
        <v>113</v>
      </c>
      <c r="I5" s="17">
        <v>38733723640</v>
      </c>
      <c r="J5" s="75" t="s">
        <v>114</v>
      </c>
      <c r="K5" s="17" t="s">
        <v>115</v>
      </c>
      <c r="L5" s="17"/>
      <c r="M5" s="75" t="s">
        <v>116</v>
      </c>
      <c r="N5" s="75" t="s">
        <v>116</v>
      </c>
      <c r="O5" s="17"/>
      <c r="P5" s="38" t="s">
        <v>96</v>
      </c>
      <c r="Q5" s="39"/>
    </row>
    <row r="6" spans="1:17" s="40" customFormat="1" ht="77.099999999999994" customHeight="1">
      <c r="A6" s="17">
        <v>25</v>
      </c>
      <c r="B6" s="19" t="s">
        <v>28</v>
      </c>
      <c r="C6" s="19" t="s">
        <v>117</v>
      </c>
      <c r="D6" s="17" t="s">
        <v>2</v>
      </c>
      <c r="E6" s="19" t="s">
        <v>110</v>
      </c>
      <c r="F6" s="19" t="s">
        <v>118</v>
      </c>
      <c r="G6" s="19" t="s">
        <v>119</v>
      </c>
      <c r="H6" s="73" t="s">
        <v>120</v>
      </c>
      <c r="I6" s="19">
        <v>38733209044</v>
      </c>
      <c r="J6" s="19" t="s">
        <v>121</v>
      </c>
      <c r="K6" s="19" t="s">
        <v>122</v>
      </c>
      <c r="L6" s="19"/>
      <c r="M6" s="19" t="s">
        <v>123</v>
      </c>
      <c r="N6" s="19"/>
      <c r="O6" s="19"/>
      <c r="P6" s="38" t="s">
        <v>96</v>
      </c>
      <c r="Q6" s="39"/>
    </row>
    <row r="7" spans="1:17" s="40" customFormat="1" ht="77.45" customHeight="1">
      <c r="A7" s="17">
        <v>4</v>
      </c>
      <c r="B7" s="22" t="s">
        <v>5</v>
      </c>
      <c r="C7" s="22" t="s">
        <v>124</v>
      </c>
      <c r="D7" s="17" t="s">
        <v>2</v>
      </c>
      <c r="E7" s="22" t="s">
        <v>110</v>
      </c>
      <c r="F7" s="22" t="s">
        <v>125</v>
      </c>
      <c r="G7" s="22" t="s">
        <v>126</v>
      </c>
      <c r="H7" s="75" t="s">
        <v>127</v>
      </c>
      <c r="I7" s="19">
        <v>38733492125</v>
      </c>
      <c r="J7" s="76" t="s">
        <v>128</v>
      </c>
      <c r="K7" s="22" t="s">
        <v>129</v>
      </c>
      <c r="L7" s="22" t="s">
        <v>130</v>
      </c>
      <c r="M7" s="22" t="s">
        <v>131</v>
      </c>
      <c r="N7" s="76" t="s">
        <v>132</v>
      </c>
      <c r="O7" s="22" t="s">
        <v>133</v>
      </c>
      <c r="P7" s="38" t="s">
        <v>96</v>
      </c>
      <c r="Q7" s="39"/>
    </row>
    <row r="8" spans="1:17" s="40" customFormat="1" ht="45" customHeight="1">
      <c r="A8" s="17">
        <v>7</v>
      </c>
      <c r="B8" s="19" t="s">
        <v>8</v>
      </c>
      <c r="C8" s="24" t="s">
        <v>134</v>
      </c>
      <c r="D8" s="17" t="s">
        <v>2</v>
      </c>
      <c r="E8" s="24" t="s">
        <v>88</v>
      </c>
      <c r="F8" s="24" t="s">
        <v>135</v>
      </c>
      <c r="G8" s="24" t="s">
        <v>90</v>
      </c>
      <c r="H8" s="72" t="s">
        <v>91</v>
      </c>
      <c r="I8" s="62">
        <v>38733725207</v>
      </c>
      <c r="J8" s="72" t="s">
        <v>92</v>
      </c>
      <c r="K8" s="24" t="s">
        <v>136</v>
      </c>
      <c r="L8" s="24" t="s">
        <v>137</v>
      </c>
      <c r="M8" s="24" t="s">
        <v>95</v>
      </c>
      <c r="N8" s="24" t="s">
        <v>95</v>
      </c>
      <c r="O8" s="24" t="s">
        <v>95</v>
      </c>
      <c r="P8" s="38" t="s">
        <v>96</v>
      </c>
      <c r="Q8" s="39"/>
    </row>
    <row r="9" spans="1:17" s="40" customFormat="1" ht="45" customHeight="1">
      <c r="A9" s="17">
        <v>8</v>
      </c>
      <c r="B9" s="19" t="s">
        <v>9</v>
      </c>
      <c r="C9" s="24" t="s">
        <v>138</v>
      </c>
      <c r="D9" s="17" t="s">
        <v>2</v>
      </c>
      <c r="E9" s="24" t="s">
        <v>88</v>
      </c>
      <c r="F9" s="24" t="s">
        <v>89</v>
      </c>
      <c r="G9" s="24" t="s">
        <v>90</v>
      </c>
      <c r="H9" s="72" t="s">
        <v>91</v>
      </c>
      <c r="I9" s="62">
        <v>38733725207</v>
      </c>
      <c r="J9" s="72" t="s">
        <v>92</v>
      </c>
      <c r="K9" s="24" t="s">
        <v>139</v>
      </c>
      <c r="L9" s="24" t="s">
        <v>140</v>
      </c>
      <c r="M9" s="24" t="s">
        <v>95</v>
      </c>
      <c r="N9" s="24" t="s">
        <v>95</v>
      </c>
      <c r="O9" s="24" t="s">
        <v>95</v>
      </c>
      <c r="P9" s="38" t="s">
        <v>96</v>
      </c>
      <c r="Q9" s="39"/>
    </row>
    <row r="10" spans="1:17" s="40" customFormat="1" ht="45" customHeight="1">
      <c r="A10" s="17">
        <v>9</v>
      </c>
      <c r="B10" s="19" t="s">
        <v>10</v>
      </c>
      <c r="C10" s="24" t="s">
        <v>141</v>
      </c>
      <c r="D10" s="17" t="s">
        <v>2</v>
      </c>
      <c r="E10" s="24" t="s">
        <v>88</v>
      </c>
      <c r="F10" s="24" t="s">
        <v>89</v>
      </c>
      <c r="G10" s="24" t="s">
        <v>90</v>
      </c>
      <c r="H10" s="72" t="s">
        <v>91</v>
      </c>
      <c r="I10" s="62">
        <v>38733725207</v>
      </c>
      <c r="J10" s="72" t="s">
        <v>92</v>
      </c>
      <c r="K10" s="25" t="s">
        <v>142</v>
      </c>
      <c r="L10" s="24" t="s">
        <v>143</v>
      </c>
      <c r="M10" s="24" t="s">
        <v>95</v>
      </c>
      <c r="N10" s="24" t="s">
        <v>95</v>
      </c>
      <c r="O10" s="24" t="s">
        <v>95</v>
      </c>
      <c r="P10" s="38" t="s">
        <v>96</v>
      </c>
      <c r="Q10" s="39"/>
    </row>
    <row r="11" spans="1:17" s="40" customFormat="1" ht="51" customHeight="1">
      <c r="A11" s="17">
        <v>15</v>
      </c>
      <c r="B11" s="17" t="s">
        <v>17</v>
      </c>
      <c r="C11" s="17" t="s">
        <v>144</v>
      </c>
      <c r="D11" s="17" t="s">
        <v>2</v>
      </c>
      <c r="E11" s="17" t="s">
        <v>110</v>
      </c>
      <c r="F11" s="17" t="s">
        <v>111</v>
      </c>
      <c r="G11" s="17" t="s">
        <v>112</v>
      </c>
      <c r="H11" s="75" t="s">
        <v>113</v>
      </c>
      <c r="I11" s="17">
        <v>38733723635</v>
      </c>
      <c r="J11" s="75" t="s">
        <v>145</v>
      </c>
      <c r="K11" s="17" t="s">
        <v>146</v>
      </c>
      <c r="L11" s="17" t="s">
        <v>147</v>
      </c>
      <c r="M11" s="75" t="s">
        <v>148</v>
      </c>
      <c r="N11" s="75" t="s">
        <v>148</v>
      </c>
      <c r="O11" s="17"/>
      <c r="P11" s="38" t="s">
        <v>96</v>
      </c>
      <c r="Q11" s="39"/>
    </row>
    <row r="12" spans="1:17" s="40" customFormat="1" ht="51" customHeight="1">
      <c r="A12" s="17">
        <v>19</v>
      </c>
      <c r="B12" s="17" t="s">
        <v>20</v>
      </c>
      <c r="C12" s="17" t="s">
        <v>149</v>
      </c>
      <c r="D12" s="17" t="s">
        <v>2</v>
      </c>
      <c r="E12" s="17" t="s">
        <v>110</v>
      </c>
      <c r="F12" s="17" t="s">
        <v>111</v>
      </c>
      <c r="G12" s="17" t="s">
        <v>112</v>
      </c>
      <c r="H12" s="75" t="s">
        <v>113</v>
      </c>
      <c r="I12" s="17">
        <v>38733723635</v>
      </c>
      <c r="J12" s="75" t="s">
        <v>145</v>
      </c>
      <c r="K12" s="17" t="s">
        <v>146</v>
      </c>
      <c r="L12" s="17" t="s">
        <v>150</v>
      </c>
      <c r="M12" s="75" t="s">
        <v>151</v>
      </c>
      <c r="N12" s="75" t="s">
        <v>151</v>
      </c>
      <c r="O12" s="17"/>
      <c r="P12" s="38" t="s">
        <v>96</v>
      </c>
      <c r="Q12" s="39"/>
    </row>
    <row r="13" spans="1:17" s="40" customFormat="1" ht="51" customHeight="1">
      <c r="A13" s="17">
        <v>20</v>
      </c>
      <c r="B13" s="17" t="s">
        <v>21</v>
      </c>
      <c r="C13" s="17" t="s">
        <v>152</v>
      </c>
      <c r="D13" s="17" t="s">
        <v>2</v>
      </c>
      <c r="E13" s="17" t="s">
        <v>110</v>
      </c>
      <c r="F13" s="17" t="s">
        <v>111</v>
      </c>
      <c r="G13" s="17" t="s">
        <v>112</v>
      </c>
      <c r="H13" s="75" t="s">
        <v>113</v>
      </c>
      <c r="I13" s="17">
        <v>38733723635</v>
      </c>
      <c r="J13" s="75" t="s">
        <v>145</v>
      </c>
      <c r="K13" s="17" t="s">
        <v>146</v>
      </c>
      <c r="L13" s="17" t="s">
        <v>153</v>
      </c>
      <c r="M13" s="75" t="s">
        <v>154</v>
      </c>
      <c r="N13" s="75" t="s">
        <v>154</v>
      </c>
      <c r="O13" s="17"/>
      <c r="P13" s="38" t="s">
        <v>96</v>
      </c>
      <c r="Q13" s="39"/>
    </row>
    <row r="14" spans="1:17" s="40" customFormat="1" ht="80.099999999999994" customHeight="1">
      <c r="A14" s="17">
        <v>21</v>
      </c>
      <c r="B14" s="17" t="s">
        <v>25</v>
      </c>
      <c r="C14" s="17" t="s">
        <v>25</v>
      </c>
      <c r="D14" s="17" t="s">
        <v>2</v>
      </c>
      <c r="E14" s="17" t="s">
        <v>110</v>
      </c>
      <c r="F14" s="17" t="s">
        <v>111</v>
      </c>
      <c r="G14" s="17" t="s">
        <v>112</v>
      </c>
      <c r="H14" s="75" t="s">
        <v>113</v>
      </c>
      <c r="I14" s="17">
        <v>38733723635</v>
      </c>
      <c r="J14" s="75" t="s">
        <v>145</v>
      </c>
      <c r="K14" s="17" t="s">
        <v>155</v>
      </c>
      <c r="L14" s="17" t="s">
        <v>156</v>
      </c>
      <c r="M14" s="75" t="s">
        <v>157</v>
      </c>
      <c r="N14" s="75" t="s">
        <v>158</v>
      </c>
      <c r="O14" s="17"/>
      <c r="P14" s="38" t="s">
        <v>96</v>
      </c>
      <c r="Q14" s="39"/>
    </row>
    <row r="15" spans="1:17" s="40" customFormat="1" ht="80.099999999999994" customHeight="1">
      <c r="A15" s="17">
        <v>33</v>
      </c>
      <c r="B15" s="19" t="s">
        <v>30</v>
      </c>
      <c r="C15" s="19" t="s">
        <v>159</v>
      </c>
      <c r="D15" s="17" t="s">
        <v>2</v>
      </c>
      <c r="E15" s="19" t="s">
        <v>88</v>
      </c>
      <c r="F15" s="19"/>
      <c r="G15" s="19"/>
      <c r="H15" s="73"/>
      <c r="I15" s="19"/>
      <c r="J15" s="73"/>
      <c r="K15" s="19" t="s">
        <v>160</v>
      </c>
      <c r="L15" s="19"/>
      <c r="M15" s="73"/>
      <c r="N15" s="73"/>
      <c r="O15" s="58"/>
      <c r="P15" s="58" t="s">
        <v>98</v>
      </c>
      <c r="Q15" s="39"/>
    </row>
    <row r="16" spans="1:17" s="40" customFormat="1" ht="80.099999999999994" customHeight="1">
      <c r="A16" s="17">
        <v>49</v>
      </c>
      <c r="B16" s="19" t="s">
        <v>29</v>
      </c>
      <c r="C16" s="19" t="s">
        <v>161</v>
      </c>
      <c r="D16" s="17" t="s">
        <v>2</v>
      </c>
      <c r="E16" s="19" t="s">
        <v>88</v>
      </c>
      <c r="F16" s="19" t="s">
        <v>97</v>
      </c>
      <c r="G16" s="19"/>
      <c r="H16" s="73"/>
      <c r="I16" s="19"/>
      <c r="J16" s="73"/>
      <c r="K16" s="19" t="s">
        <v>162</v>
      </c>
      <c r="L16" s="19"/>
      <c r="M16" s="73"/>
      <c r="N16" s="73"/>
      <c r="O16" s="58"/>
      <c r="P16" s="58" t="s">
        <v>98</v>
      </c>
      <c r="Q16" s="39"/>
    </row>
    <row r="17" spans="1:17" s="40" customFormat="1" ht="33.6" customHeight="1">
      <c r="A17" s="17">
        <v>50</v>
      </c>
      <c r="B17" s="19" t="s">
        <v>31</v>
      </c>
      <c r="C17" s="19" t="s">
        <v>163</v>
      </c>
      <c r="D17" s="17" t="s">
        <v>2</v>
      </c>
      <c r="E17" s="19" t="s">
        <v>110</v>
      </c>
      <c r="F17" s="19" t="s">
        <v>164</v>
      </c>
      <c r="G17" s="19"/>
      <c r="H17" s="73"/>
      <c r="I17" s="19"/>
      <c r="J17" s="73"/>
      <c r="K17" s="19"/>
      <c r="L17" s="19"/>
      <c r="M17" s="73"/>
      <c r="N17" s="73"/>
      <c r="O17" s="58"/>
      <c r="P17" s="58" t="s">
        <v>98</v>
      </c>
      <c r="Q17" s="39"/>
    </row>
    <row r="18" spans="1:17" s="40" customFormat="1" ht="33.6" customHeight="1">
      <c r="A18" s="17">
        <v>53</v>
      </c>
      <c r="B18" s="19" t="s">
        <v>19</v>
      </c>
      <c r="C18" s="19" t="s">
        <v>165</v>
      </c>
      <c r="D18" s="17" t="s">
        <v>2</v>
      </c>
      <c r="E18" s="19" t="s">
        <v>110</v>
      </c>
      <c r="F18" s="58"/>
      <c r="G18" s="58"/>
      <c r="H18" s="58"/>
      <c r="I18" s="58"/>
      <c r="J18" s="58"/>
      <c r="K18" s="19" t="s">
        <v>166</v>
      </c>
      <c r="L18" s="58"/>
      <c r="M18" s="58"/>
      <c r="N18" s="58"/>
      <c r="O18" s="58"/>
      <c r="P18" s="58" t="s">
        <v>167</v>
      </c>
      <c r="Q18" s="39"/>
    </row>
    <row r="19" spans="1:17" s="40" customFormat="1" ht="33.6" customHeight="1">
      <c r="A19" s="17">
        <v>31</v>
      </c>
      <c r="B19" s="19" t="s">
        <v>3</v>
      </c>
      <c r="C19" s="19" t="s">
        <v>168</v>
      </c>
      <c r="D19" s="17" t="s">
        <v>2</v>
      </c>
      <c r="E19" s="19" t="s">
        <v>88</v>
      </c>
      <c r="F19" s="19" t="s">
        <v>169</v>
      </c>
      <c r="G19" s="19" t="s">
        <v>170</v>
      </c>
      <c r="H19" s="73"/>
      <c r="I19" s="19">
        <v>38733285261</v>
      </c>
      <c r="J19" s="73"/>
      <c r="K19" s="19"/>
      <c r="L19" s="19" t="s">
        <v>171</v>
      </c>
      <c r="M19" s="73"/>
      <c r="N19" s="73"/>
      <c r="O19" s="58"/>
      <c r="P19" s="58" t="s">
        <v>98</v>
      </c>
      <c r="Q19" s="39"/>
    </row>
    <row r="20" spans="1:17" s="40" customFormat="1" ht="33.6" customHeight="1">
      <c r="A20" s="17">
        <v>34</v>
      </c>
      <c r="B20" s="19" t="s">
        <v>6</v>
      </c>
      <c r="C20" s="19" t="s">
        <v>172</v>
      </c>
      <c r="D20" s="17" t="s">
        <v>2</v>
      </c>
      <c r="E20" s="19" t="s">
        <v>110</v>
      </c>
      <c r="F20" s="19" t="s">
        <v>173</v>
      </c>
      <c r="G20" s="19" t="s">
        <v>174</v>
      </c>
      <c r="H20" s="73" t="s">
        <v>175</v>
      </c>
      <c r="I20" s="64">
        <v>387733637384</v>
      </c>
      <c r="J20" s="73" t="s">
        <v>176</v>
      </c>
      <c r="K20" s="19" t="s">
        <v>177</v>
      </c>
      <c r="L20" s="19" t="s">
        <v>178</v>
      </c>
      <c r="M20" s="19" t="s">
        <v>179</v>
      </c>
      <c r="N20" s="77" t="s">
        <v>180</v>
      </c>
      <c r="O20" s="58"/>
      <c r="P20" s="58" t="s">
        <v>98</v>
      </c>
      <c r="Q20" s="39"/>
    </row>
    <row r="21" spans="1:17" s="40" customFormat="1" ht="33.6" customHeight="1">
      <c r="A21" s="17">
        <v>36</v>
      </c>
      <c r="B21" s="19" t="s">
        <v>7</v>
      </c>
      <c r="C21" s="19" t="s">
        <v>181</v>
      </c>
      <c r="D21" s="17" t="s">
        <v>2</v>
      </c>
      <c r="E21" s="19" t="s">
        <v>88</v>
      </c>
      <c r="F21" s="19" t="s">
        <v>173</v>
      </c>
      <c r="G21" s="19" t="s">
        <v>174</v>
      </c>
      <c r="H21" s="77" t="s">
        <v>180</v>
      </c>
      <c r="I21" s="64">
        <v>387733637384</v>
      </c>
      <c r="J21" s="73" t="s">
        <v>176</v>
      </c>
      <c r="K21" s="19" t="s">
        <v>182</v>
      </c>
      <c r="L21" s="77" t="s">
        <v>180</v>
      </c>
      <c r="M21" s="77" t="s">
        <v>180</v>
      </c>
      <c r="N21" s="77" t="s">
        <v>180</v>
      </c>
      <c r="O21" s="58"/>
      <c r="P21" s="58" t="s">
        <v>98</v>
      </c>
      <c r="Q21" s="39"/>
    </row>
    <row r="22" spans="1:17" s="40" customFormat="1" ht="33.6" customHeight="1">
      <c r="A22" s="17">
        <v>39</v>
      </c>
      <c r="B22" s="19" t="s">
        <v>12</v>
      </c>
      <c r="C22" s="19" t="s">
        <v>183</v>
      </c>
      <c r="D22" s="17" t="s">
        <v>2</v>
      </c>
      <c r="E22" s="19" t="s">
        <v>88</v>
      </c>
      <c r="F22" s="19" t="s">
        <v>184</v>
      </c>
      <c r="G22" s="19"/>
      <c r="H22" s="73"/>
      <c r="I22" s="19"/>
      <c r="J22" s="73"/>
      <c r="K22" s="19"/>
      <c r="L22" s="19"/>
      <c r="M22" s="73"/>
      <c r="N22" s="73"/>
      <c r="O22" s="58"/>
      <c r="P22" s="58" t="s">
        <v>98</v>
      </c>
      <c r="Q22" s="39"/>
    </row>
    <row r="23" spans="1:17" s="40" customFormat="1" ht="33.6" customHeight="1">
      <c r="A23" s="17">
        <v>40</v>
      </c>
      <c r="B23" s="19" t="s">
        <v>13</v>
      </c>
      <c r="C23" s="19" t="s">
        <v>185</v>
      </c>
      <c r="D23" s="17" t="s">
        <v>2</v>
      </c>
      <c r="E23" s="19" t="s">
        <v>186</v>
      </c>
      <c r="F23" s="19" t="s">
        <v>187</v>
      </c>
      <c r="G23" s="19" t="s">
        <v>188</v>
      </c>
      <c r="H23" s="73" t="s">
        <v>189</v>
      </c>
      <c r="I23" s="19">
        <v>38733653093</v>
      </c>
      <c r="J23" s="73"/>
      <c r="K23" s="19"/>
      <c r="L23" s="19"/>
      <c r="M23" s="19"/>
      <c r="N23" s="73"/>
      <c r="O23" s="58"/>
      <c r="P23" s="58" t="s">
        <v>98</v>
      </c>
      <c r="Q23" s="39"/>
    </row>
    <row r="24" spans="1:17" s="40" customFormat="1" ht="33.6" customHeight="1">
      <c r="A24" s="17">
        <v>41</v>
      </c>
      <c r="B24" s="19" t="s">
        <v>14</v>
      </c>
      <c r="C24" s="19" t="s">
        <v>190</v>
      </c>
      <c r="D24" s="17" t="s">
        <v>2</v>
      </c>
      <c r="E24" s="19" t="s">
        <v>191</v>
      </c>
      <c r="F24" s="19" t="s">
        <v>192</v>
      </c>
      <c r="G24" s="19"/>
      <c r="H24" s="73"/>
      <c r="I24" s="19"/>
      <c r="J24" s="73"/>
      <c r="K24" s="19" t="s">
        <v>193</v>
      </c>
      <c r="L24" s="19"/>
      <c r="M24" s="19" t="s">
        <v>194</v>
      </c>
      <c r="N24" s="73"/>
      <c r="O24" s="58"/>
      <c r="P24" s="58" t="s">
        <v>98</v>
      </c>
      <c r="Q24" s="39"/>
    </row>
    <row r="25" spans="1:17" s="40" customFormat="1" ht="33.6" customHeight="1">
      <c r="A25" s="17">
        <v>42</v>
      </c>
      <c r="B25" s="19" t="s">
        <v>15</v>
      </c>
      <c r="C25" s="19"/>
      <c r="D25" s="17" t="s">
        <v>2</v>
      </c>
      <c r="E25" s="19" t="s">
        <v>88</v>
      </c>
      <c r="F25" s="19" t="s">
        <v>97</v>
      </c>
      <c r="G25" s="19"/>
      <c r="H25" s="73"/>
      <c r="I25" s="19"/>
      <c r="J25" s="73"/>
      <c r="K25" s="19"/>
      <c r="L25" s="19"/>
      <c r="M25" s="73"/>
      <c r="N25" s="73"/>
      <c r="O25" s="58"/>
      <c r="P25" s="58" t="s">
        <v>98</v>
      </c>
      <c r="Q25" s="39"/>
    </row>
    <row r="26" spans="1:17" s="40" customFormat="1" ht="33.6" customHeight="1">
      <c r="A26" s="17">
        <v>52</v>
      </c>
      <c r="B26" s="19" t="s">
        <v>16</v>
      </c>
      <c r="C26" s="19" t="s">
        <v>195</v>
      </c>
      <c r="D26" s="17" t="s">
        <v>2</v>
      </c>
      <c r="E26" s="19" t="s">
        <v>110</v>
      </c>
      <c r="F26" s="58"/>
      <c r="G26" s="58"/>
      <c r="H26" s="78" t="s">
        <v>196</v>
      </c>
      <c r="I26" s="58"/>
      <c r="J26" s="58"/>
      <c r="K26" s="19" t="s">
        <v>197</v>
      </c>
      <c r="L26" s="58"/>
      <c r="M26" s="58"/>
      <c r="N26" s="58"/>
      <c r="O26" s="58"/>
      <c r="P26" s="58" t="s">
        <v>167</v>
      </c>
      <c r="Q26" s="39"/>
    </row>
    <row r="27" spans="1:17" s="40" customFormat="1" ht="33.6" customHeight="1">
      <c r="A27" s="17">
        <v>58</v>
      </c>
      <c r="B27" s="19" t="s">
        <v>22</v>
      </c>
      <c r="C27" s="19" t="s">
        <v>198</v>
      </c>
      <c r="D27" s="17" t="s">
        <v>2</v>
      </c>
      <c r="E27" s="58" t="s">
        <v>199</v>
      </c>
      <c r="F27" s="58"/>
      <c r="G27" s="58"/>
      <c r="H27" s="19"/>
      <c r="I27" s="58"/>
      <c r="J27" s="58"/>
      <c r="K27" s="19" t="s">
        <v>200</v>
      </c>
      <c r="L27" s="58"/>
      <c r="M27" s="58"/>
      <c r="N27" s="58"/>
      <c r="O27" s="58"/>
      <c r="P27" s="58" t="s">
        <v>167</v>
      </c>
      <c r="Q27" s="39"/>
    </row>
    <row r="28" spans="1:17" s="40" customFormat="1" ht="33.6" customHeight="1">
      <c r="A28" s="17">
        <v>59</v>
      </c>
      <c r="B28" s="20" t="s">
        <v>23</v>
      </c>
      <c r="C28" s="20" t="s">
        <v>201</v>
      </c>
      <c r="D28" s="17" t="s">
        <v>2</v>
      </c>
      <c r="E28" s="58" t="s">
        <v>110</v>
      </c>
      <c r="F28" s="58"/>
      <c r="G28" s="58"/>
      <c r="H28" s="19"/>
      <c r="I28" s="58"/>
      <c r="J28" s="58"/>
      <c r="K28" s="19" t="s">
        <v>202</v>
      </c>
      <c r="L28" s="58"/>
      <c r="M28" s="58"/>
      <c r="N28" s="58"/>
      <c r="O28" s="58"/>
      <c r="P28" s="58" t="s">
        <v>167</v>
      </c>
      <c r="Q28" s="39"/>
    </row>
    <row r="29" spans="1:17" s="40" customFormat="1" ht="33.6" customHeight="1">
      <c r="A29" s="17">
        <v>60</v>
      </c>
      <c r="B29" s="19" t="s">
        <v>24</v>
      </c>
      <c r="C29" s="19"/>
      <c r="D29" s="17" t="s">
        <v>2</v>
      </c>
      <c r="E29" s="58" t="s">
        <v>88</v>
      </c>
      <c r="F29" s="58"/>
      <c r="G29" s="58"/>
      <c r="H29" s="73"/>
      <c r="I29" s="58"/>
      <c r="J29" s="58"/>
      <c r="K29" s="19"/>
      <c r="L29" s="58"/>
      <c r="M29" s="58"/>
      <c r="N29" s="58"/>
      <c r="O29" s="58"/>
      <c r="P29" s="58" t="s">
        <v>167</v>
      </c>
      <c r="Q29" s="39"/>
    </row>
    <row r="30" spans="1:17" s="40" customFormat="1" ht="33.6" customHeight="1">
      <c r="A30" s="17">
        <v>24</v>
      </c>
      <c r="B30" s="19" t="s">
        <v>27</v>
      </c>
      <c r="C30" s="24" t="s">
        <v>203</v>
      </c>
      <c r="D30" s="58" t="s">
        <v>2</v>
      </c>
      <c r="E30" s="24" t="s">
        <v>88</v>
      </c>
      <c r="F30" s="24" t="s">
        <v>204</v>
      </c>
      <c r="G30" s="24" t="s">
        <v>90</v>
      </c>
      <c r="H30" s="24" t="s">
        <v>91</v>
      </c>
      <c r="I30" s="62">
        <v>38733725207</v>
      </c>
      <c r="J30" s="75" t="s">
        <v>92</v>
      </c>
      <c r="K30" s="24" t="s">
        <v>205</v>
      </c>
      <c r="L30" s="24" t="s">
        <v>206</v>
      </c>
      <c r="M30" s="24" t="s">
        <v>95</v>
      </c>
      <c r="N30" s="24" t="s">
        <v>95</v>
      </c>
      <c r="O30" s="24" t="s">
        <v>95</v>
      </c>
      <c r="P30" s="38" t="s">
        <v>96</v>
      </c>
      <c r="Q30" s="39"/>
    </row>
    <row r="31" spans="1:17" s="40" customFormat="1" ht="33.6" customHeight="1">
      <c r="A31" s="17">
        <v>22</v>
      </c>
      <c r="B31" s="19" t="s">
        <v>26</v>
      </c>
      <c r="C31" s="24" t="s">
        <v>87</v>
      </c>
      <c r="D31" s="17" t="s">
        <v>33</v>
      </c>
      <c r="E31" s="24" t="s">
        <v>88</v>
      </c>
      <c r="F31" s="24" t="s">
        <v>89</v>
      </c>
      <c r="G31" s="24" t="s">
        <v>90</v>
      </c>
      <c r="H31" s="72" t="s">
        <v>91</v>
      </c>
      <c r="I31" s="62">
        <v>38733725207</v>
      </c>
      <c r="J31" s="72" t="s">
        <v>92</v>
      </c>
      <c r="K31" s="24" t="s">
        <v>93</v>
      </c>
      <c r="L31" s="24" t="s">
        <v>94</v>
      </c>
      <c r="M31" s="24" t="s">
        <v>95</v>
      </c>
      <c r="N31" s="24" t="s">
        <v>95</v>
      </c>
      <c r="O31" s="24" t="s">
        <v>95</v>
      </c>
      <c r="P31" s="38" t="s">
        <v>96</v>
      </c>
      <c r="Q31" s="39"/>
    </row>
    <row r="32" spans="1:17" s="40" customFormat="1" ht="33.6" customHeight="1">
      <c r="A32" s="17">
        <v>2</v>
      </c>
      <c r="B32" s="19" t="s">
        <v>4</v>
      </c>
      <c r="C32" s="19" t="s">
        <v>99</v>
      </c>
      <c r="D32" s="17" t="s">
        <v>33</v>
      </c>
      <c r="E32" s="19" t="s">
        <v>100</v>
      </c>
      <c r="F32" s="19" t="s">
        <v>101</v>
      </c>
      <c r="G32" s="19" t="s">
        <v>102</v>
      </c>
      <c r="H32" s="73" t="s">
        <v>103</v>
      </c>
      <c r="I32" s="17" t="s">
        <v>104</v>
      </c>
      <c r="J32" s="74" t="s">
        <v>105</v>
      </c>
      <c r="K32" s="19" t="s">
        <v>106</v>
      </c>
      <c r="L32" s="19" t="s">
        <v>207</v>
      </c>
      <c r="M32" s="19" t="s">
        <v>108</v>
      </c>
      <c r="N32" s="19"/>
      <c r="O32" s="19"/>
      <c r="P32" s="38" t="s">
        <v>96</v>
      </c>
      <c r="Q32" s="39"/>
    </row>
    <row r="33" spans="1:17" s="40" customFormat="1" ht="33.6" customHeight="1">
      <c r="A33" s="17">
        <v>13</v>
      </c>
      <c r="B33" s="17" t="s">
        <v>11</v>
      </c>
      <c r="C33" s="17" t="s">
        <v>109</v>
      </c>
      <c r="D33" s="17" t="s">
        <v>33</v>
      </c>
      <c r="E33" s="17" t="s">
        <v>110</v>
      </c>
      <c r="F33" s="17" t="s">
        <v>111</v>
      </c>
      <c r="G33" s="17" t="s">
        <v>112</v>
      </c>
      <c r="H33" s="75" t="s">
        <v>113</v>
      </c>
      <c r="I33" s="17">
        <v>38733723640</v>
      </c>
      <c r="J33" s="75" t="s">
        <v>114</v>
      </c>
      <c r="K33" s="17" t="s">
        <v>115</v>
      </c>
      <c r="L33" s="17"/>
      <c r="M33" s="75" t="s">
        <v>116</v>
      </c>
      <c r="N33" s="75" t="s">
        <v>116</v>
      </c>
      <c r="O33" s="17"/>
      <c r="P33" s="38" t="s">
        <v>96</v>
      </c>
      <c r="Q33" s="39"/>
    </row>
    <row r="34" spans="1:17" s="40" customFormat="1" ht="33.6" customHeight="1">
      <c r="A34" s="17">
        <v>25</v>
      </c>
      <c r="B34" s="19" t="s">
        <v>28</v>
      </c>
      <c r="C34" s="19" t="s">
        <v>117</v>
      </c>
      <c r="D34" s="17" t="s">
        <v>33</v>
      </c>
      <c r="E34" s="19" t="s">
        <v>110</v>
      </c>
      <c r="F34" s="19" t="s">
        <v>118</v>
      </c>
      <c r="G34" s="19" t="s">
        <v>119</v>
      </c>
      <c r="H34" s="73" t="s">
        <v>120</v>
      </c>
      <c r="I34" s="19">
        <v>38733209044</v>
      </c>
      <c r="J34" s="19" t="s">
        <v>121</v>
      </c>
      <c r="K34" s="19" t="s">
        <v>122</v>
      </c>
      <c r="L34" s="19"/>
      <c r="M34" s="19" t="s">
        <v>123</v>
      </c>
      <c r="N34" s="19"/>
      <c r="O34" s="19"/>
      <c r="P34" s="38" t="s">
        <v>96</v>
      </c>
      <c r="Q34" s="39"/>
    </row>
    <row r="35" spans="1:17" s="40" customFormat="1" ht="33.6" customHeight="1">
      <c r="A35" s="17">
        <v>4</v>
      </c>
      <c r="B35" s="22" t="s">
        <v>5</v>
      </c>
      <c r="C35" s="22" t="s">
        <v>124</v>
      </c>
      <c r="D35" s="17" t="s">
        <v>33</v>
      </c>
      <c r="E35" s="22" t="s">
        <v>110</v>
      </c>
      <c r="F35" s="22" t="s">
        <v>125</v>
      </c>
      <c r="G35" s="22" t="s">
        <v>126</v>
      </c>
      <c r="H35" s="75" t="s">
        <v>127</v>
      </c>
      <c r="I35" s="19">
        <v>38733492125</v>
      </c>
      <c r="J35" s="76" t="s">
        <v>128</v>
      </c>
      <c r="K35" s="22" t="s">
        <v>129</v>
      </c>
      <c r="L35" s="22" t="s">
        <v>130</v>
      </c>
      <c r="M35" s="22" t="s">
        <v>131</v>
      </c>
      <c r="N35" s="76" t="s">
        <v>132</v>
      </c>
      <c r="O35" s="22" t="s">
        <v>133</v>
      </c>
      <c r="P35" s="38" t="s">
        <v>96</v>
      </c>
      <c r="Q35" s="39"/>
    </row>
    <row r="36" spans="1:17" s="40" customFormat="1" ht="33.6" customHeight="1">
      <c r="A36" s="17">
        <v>7</v>
      </c>
      <c r="B36" s="19" t="s">
        <v>8</v>
      </c>
      <c r="C36" s="24" t="s">
        <v>134</v>
      </c>
      <c r="D36" s="17" t="s">
        <v>33</v>
      </c>
      <c r="E36" s="24" t="s">
        <v>88</v>
      </c>
      <c r="F36" s="24" t="s">
        <v>135</v>
      </c>
      <c r="G36" s="24" t="s">
        <v>90</v>
      </c>
      <c r="H36" s="72" t="s">
        <v>91</v>
      </c>
      <c r="I36" s="62">
        <v>38733725207</v>
      </c>
      <c r="J36" s="72" t="s">
        <v>92</v>
      </c>
      <c r="K36" s="24" t="s">
        <v>136</v>
      </c>
      <c r="L36" s="24" t="s">
        <v>137</v>
      </c>
      <c r="M36" s="24" t="s">
        <v>95</v>
      </c>
      <c r="N36" s="24" t="s">
        <v>95</v>
      </c>
      <c r="O36" s="24" t="s">
        <v>95</v>
      </c>
      <c r="P36" s="38" t="s">
        <v>96</v>
      </c>
      <c r="Q36" s="39"/>
    </row>
    <row r="37" spans="1:17" s="40" customFormat="1" ht="33.6" customHeight="1">
      <c r="A37" s="17">
        <v>8</v>
      </c>
      <c r="B37" s="19" t="s">
        <v>9</v>
      </c>
      <c r="C37" s="24" t="s">
        <v>138</v>
      </c>
      <c r="D37" s="17" t="s">
        <v>33</v>
      </c>
      <c r="E37" s="24" t="s">
        <v>88</v>
      </c>
      <c r="F37" s="24" t="s">
        <v>89</v>
      </c>
      <c r="G37" s="24" t="s">
        <v>90</v>
      </c>
      <c r="H37" s="72" t="s">
        <v>91</v>
      </c>
      <c r="I37" s="62">
        <v>38733725207</v>
      </c>
      <c r="J37" s="72" t="s">
        <v>92</v>
      </c>
      <c r="K37" s="24" t="s">
        <v>139</v>
      </c>
      <c r="L37" s="24" t="s">
        <v>140</v>
      </c>
      <c r="M37" s="24" t="s">
        <v>95</v>
      </c>
      <c r="N37" s="24" t="s">
        <v>95</v>
      </c>
      <c r="O37" s="24" t="s">
        <v>95</v>
      </c>
      <c r="P37" s="38" t="s">
        <v>96</v>
      </c>
      <c r="Q37" s="39"/>
    </row>
    <row r="38" spans="1:17" s="40" customFormat="1" ht="33.6" customHeight="1">
      <c r="A38" s="17">
        <v>9</v>
      </c>
      <c r="B38" s="19" t="s">
        <v>10</v>
      </c>
      <c r="C38" s="24" t="s">
        <v>141</v>
      </c>
      <c r="D38" s="17" t="s">
        <v>33</v>
      </c>
      <c r="E38" s="24" t="s">
        <v>88</v>
      </c>
      <c r="F38" s="24" t="s">
        <v>89</v>
      </c>
      <c r="G38" s="24" t="s">
        <v>90</v>
      </c>
      <c r="H38" s="72" t="s">
        <v>91</v>
      </c>
      <c r="I38" s="62">
        <v>38733725207</v>
      </c>
      <c r="J38" s="72" t="s">
        <v>92</v>
      </c>
      <c r="K38" s="25" t="s">
        <v>142</v>
      </c>
      <c r="L38" s="24" t="s">
        <v>143</v>
      </c>
      <c r="M38" s="24" t="s">
        <v>95</v>
      </c>
      <c r="N38" s="24" t="s">
        <v>95</v>
      </c>
      <c r="O38" s="24" t="s">
        <v>95</v>
      </c>
      <c r="P38" s="38" t="s">
        <v>96</v>
      </c>
      <c r="Q38" s="39"/>
    </row>
    <row r="39" spans="1:17" s="40" customFormat="1" ht="33.6" customHeight="1">
      <c r="A39" s="17">
        <v>15</v>
      </c>
      <c r="B39" s="17" t="s">
        <v>17</v>
      </c>
      <c r="C39" s="17" t="s">
        <v>144</v>
      </c>
      <c r="D39" s="17" t="s">
        <v>33</v>
      </c>
      <c r="E39" s="17" t="s">
        <v>110</v>
      </c>
      <c r="F39" s="17" t="s">
        <v>111</v>
      </c>
      <c r="G39" s="17" t="s">
        <v>112</v>
      </c>
      <c r="H39" s="75" t="s">
        <v>113</v>
      </c>
      <c r="I39" s="17">
        <v>38733723635</v>
      </c>
      <c r="J39" s="75" t="s">
        <v>145</v>
      </c>
      <c r="K39" s="17" t="s">
        <v>146</v>
      </c>
      <c r="L39" s="17" t="s">
        <v>147</v>
      </c>
      <c r="M39" s="75" t="s">
        <v>148</v>
      </c>
      <c r="N39" s="75" t="s">
        <v>148</v>
      </c>
      <c r="O39" s="17"/>
      <c r="P39" s="38" t="s">
        <v>96</v>
      </c>
      <c r="Q39" s="39"/>
    </row>
    <row r="40" spans="1:17" s="40" customFormat="1" ht="33.6" customHeight="1">
      <c r="A40" s="17">
        <v>19</v>
      </c>
      <c r="B40" s="17" t="s">
        <v>20</v>
      </c>
      <c r="C40" s="17" t="s">
        <v>149</v>
      </c>
      <c r="D40" s="17" t="s">
        <v>33</v>
      </c>
      <c r="E40" s="17" t="s">
        <v>110</v>
      </c>
      <c r="F40" s="17" t="s">
        <v>111</v>
      </c>
      <c r="G40" s="17" t="s">
        <v>112</v>
      </c>
      <c r="H40" s="75" t="s">
        <v>113</v>
      </c>
      <c r="I40" s="17">
        <v>38733723635</v>
      </c>
      <c r="J40" s="75" t="s">
        <v>145</v>
      </c>
      <c r="K40" s="17" t="s">
        <v>146</v>
      </c>
      <c r="L40" s="17" t="s">
        <v>150</v>
      </c>
      <c r="M40" s="75" t="s">
        <v>151</v>
      </c>
      <c r="N40" s="75" t="s">
        <v>151</v>
      </c>
      <c r="O40" s="17"/>
      <c r="P40" s="38" t="s">
        <v>96</v>
      </c>
      <c r="Q40" s="39"/>
    </row>
    <row r="41" spans="1:17" s="40" customFormat="1" ht="46.5" customHeight="1">
      <c r="A41" s="17">
        <v>20</v>
      </c>
      <c r="B41" s="17" t="s">
        <v>21</v>
      </c>
      <c r="C41" s="17" t="s">
        <v>152</v>
      </c>
      <c r="D41" s="17" t="s">
        <v>33</v>
      </c>
      <c r="E41" s="17" t="s">
        <v>110</v>
      </c>
      <c r="F41" s="17" t="s">
        <v>111</v>
      </c>
      <c r="G41" s="17" t="s">
        <v>112</v>
      </c>
      <c r="H41" s="75" t="s">
        <v>113</v>
      </c>
      <c r="I41" s="17">
        <v>38733723635</v>
      </c>
      <c r="J41" s="75" t="s">
        <v>145</v>
      </c>
      <c r="K41" s="17" t="s">
        <v>146</v>
      </c>
      <c r="L41" s="17" t="s">
        <v>153</v>
      </c>
      <c r="M41" s="75" t="s">
        <v>154</v>
      </c>
      <c r="N41" s="75" t="s">
        <v>154</v>
      </c>
      <c r="O41" s="17"/>
      <c r="P41" s="38" t="s">
        <v>96</v>
      </c>
      <c r="Q41" s="39"/>
    </row>
    <row r="42" spans="1:17" s="46" customFormat="1" ht="33.6" customHeight="1">
      <c r="A42" s="17">
        <v>21</v>
      </c>
      <c r="B42" s="17" t="s">
        <v>25</v>
      </c>
      <c r="C42" s="17" t="s">
        <v>25</v>
      </c>
      <c r="D42" s="17" t="s">
        <v>33</v>
      </c>
      <c r="E42" s="17" t="s">
        <v>110</v>
      </c>
      <c r="F42" s="17" t="s">
        <v>111</v>
      </c>
      <c r="G42" s="17" t="s">
        <v>112</v>
      </c>
      <c r="H42" s="75" t="s">
        <v>113</v>
      </c>
      <c r="I42" s="17">
        <v>38733723635</v>
      </c>
      <c r="J42" s="75" t="s">
        <v>145</v>
      </c>
      <c r="K42" s="17" t="s">
        <v>155</v>
      </c>
      <c r="L42" s="17" t="s">
        <v>156</v>
      </c>
      <c r="M42" s="75" t="s">
        <v>157</v>
      </c>
      <c r="N42" s="75" t="s">
        <v>158</v>
      </c>
      <c r="O42" s="17"/>
      <c r="P42" s="38" t="s">
        <v>96</v>
      </c>
      <c r="Q42" s="45"/>
    </row>
    <row r="43" spans="1:17" s="46" customFormat="1" ht="33.6" customHeight="1">
      <c r="A43" s="17">
        <v>33</v>
      </c>
      <c r="B43" s="19" t="s">
        <v>30</v>
      </c>
      <c r="C43" s="19" t="s">
        <v>159</v>
      </c>
      <c r="D43" s="17" t="s">
        <v>33</v>
      </c>
      <c r="E43" s="19" t="s">
        <v>88</v>
      </c>
      <c r="F43" s="19"/>
      <c r="G43" s="19"/>
      <c r="H43" s="73"/>
      <c r="I43" s="19"/>
      <c r="J43" s="73"/>
      <c r="K43" s="19" t="s">
        <v>160</v>
      </c>
      <c r="L43" s="19"/>
      <c r="M43" s="73"/>
      <c r="N43" s="73"/>
      <c r="O43" s="58"/>
      <c r="P43" s="58" t="s">
        <v>98</v>
      </c>
      <c r="Q43" s="45"/>
    </row>
    <row r="44" spans="1:17" s="46" customFormat="1" ht="33.6" customHeight="1">
      <c r="A44" s="17">
        <v>49</v>
      </c>
      <c r="B44" s="19" t="s">
        <v>29</v>
      </c>
      <c r="C44" s="19" t="s">
        <v>161</v>
      </c>
      <c r="D44" s="17" t="s">
        <v>33</v>
      </c>
      <c r="E44" s="19" t="s">
        <v>88</v>
      </c>
      <c r="F44" s="19" t="s">
        <v>97</v>
      </c>
      <c r="G44" s="19"/>
      <c r="H44" s="73"/>
      <c r="I44" s="19"/>
      <c r="J44" s="73"/>
      <c r="K44" s="19" t="s">
        <v>162</v>
      </c>
      <c r="L44" s="19"/>
      <c r="M44" s="73"/>
      <c r="N44" s="73"/>
      <c r="O44" s="58"/>
      <c r="P44" s="58" t="s">
        <v>98</v>
      </c>
      <c r="Q44" s="45"/>
    </row>
    <row r="45" spans="1:17" s="46" customFormat="1" ht="33.6" customHeight="1">
      <c r="A45" s="17">
        <v>50</v>
      </c>
      <c r="B45" s="19" t="s">
        <v>31</v>
      </c>
      <c r="C45" s="19" t="s">
        <v>163</v>
      </c>
      <c r="D45" s="17" t="s">
        <v>33</v>
      </c>
      <c r="E45" s="19" t="s">
        <v>110</v>
      </c>
      <c r="F45" s="19" t="s">
        <v>164</v>
      </c>
      <c r="G45" s="19"/>
      <c r="H45" s="73"/>
      <c r="I45" s="19"/>
      <c r="J45" s="73"/>
      <c r="K45" s="19"/>
      <c r="L45" s="19"/>
      <c r="M45" s="73"/>
      <c r="N45" s="73"/>
      <c r="O45" s="58"/>
      <c r="P45" s="58" t="s">
        <v>98</v>
      </c>
      <c r="Q45" s="45"/>
    </row>
    <row r="46" spans="1:17" s="46" customFormat="1" ht="33.6" customHeight="1">
      <c r="A46" s="17">
        <v>53</v>
      </c>
      <c r="B46" s="19" t="s">
        <v>19</v>
      </c>
      <c r="C46" s="19" t="s">
        <v>165</v>
      </c>
      <c r="D46" s="17" t="s">
        <v>33</v>
      </c>
      <c r="E46" s="19" t="s">
        <v>110</v>
      </c>
      <c r="F46" s="58"/>
      <c r="G46" s="58"/>
      <c r="H46" s="58"/>
      <c r="I46" s="58"/>
      <c r="J46" s="58"/>
      <c r="K46" s="19" t="s">
        <v>166</v>
      </c>
      <c r="L46" s="58"/>
      <c r="M46" s="58"/>
      <c r="N46" s="58"/>
      <c r="O46" s="58"/>
      <c r="P46" s="58" t="s">
        <v>167</v>
      </c>
      <c r="Q46" s="45"/>
    </row>
    <row r="47" spans="1:17" s="46" customFormat="1" ht="33.6" customHeight="1">
      <c r="A47" s="17">
        <v>31</v>
      </c>
      <c r="B47" s="19" t="s">
        <v>3</v>
      </c>
      <c r="C47" s="19" t="s">
        <v>168</v>
      </c>
      <c r="D47" s="17" t="s">
        <v>33</v>
      </c>
      <c r="E47" s="19" t="s">
        <v>88</v>
      </c>
      <c r="F47" s="19" t="s">
        <v>169</v>
      </c>
      <c r="G47" s="19" t="s">
        <v>170</v>
      </c>
      <c r="H47" s="73"/>
      <c r="I47" s="19">
        <v>38733285261</v>
      </c>
      <c r="J47" s="73"/>
      <c r="K47" s="19"/>
      <c r="L47" s="19" t="s">
        <v>171</v>
      </c>
      <c r="M47" s="73"/>
      <c r="N47" s="73"/>
      <c r="O47" s="58"/>
      <c r="P47" s="58" t="s">
        <v>98</v>
      </c>
      <c r="Q47" s="45"/>
    </row>
    <row r="48" spans="1:17" s="46" customFormat="1" ht="33.6" customHeight="1">
      <c r="A48" s="17">
        <v>34</v>
      </c>
      <c r="B48" s="19" t="s">
        <v>6</v>
      </c>
      <c r="C48" s="19" t="s">
        <v>172</v>
      </c>
      <c r="D48" s="17" t="s">
        <v>33</v>
      </c>
      <c r="E48" s="19" t="s">
        <v>110</v>
      </c>
      <c r="F48" s="19" t="s">
        <v>173</v>
      </c>
      <c r="G48" s="19" t="s">
        <v>174</v>
      </c>
      <c r="H48" s="73" t="s">
        <v>175</v>
      </c>
      <c r="I48" s="64">
        <v>387733637384</v>
      </c>
      <c r="J48" s="73" t="s">
        <v>176</v>
      </c>
      <c r="K48" s="19" t="s">
        <v>177</v>
      </c>
      <c r="L48" s="19" t="s">
        <v>178</v>
      </c>
      <c r="M48" s="19" t="s">
        <v>179</v>
      </c>
      <c r="N48" s="77" t="s">
        <v>180</v>
      </c>
      <c r="O48" s="58"/>
      <c r="P48" s="58" t="s">
        <v>98</v>
      </c>
      <c r="Q48" s="45"/>
    </row>
    <row r="49" spans="1:17" s="46" customFormat="1" ht="33.6" customHeight="1">
      <c r="A49" s="17">
        <v>36</v>
      </c>
      <c r="B49" s="19" t="s">
        <v>7</v>
      </c>
      <c r="C49" s="19" t="s">
        <v>181</v>
      </c>
      <c r="D49" s="17" t="s">
        <v>33</v>
      </c>
      <c r="E49" s="19" t="s">
        <v>88</v>
      </c>
      <c r="F49" s="19" t="s">
        <v>173</v>
      </c>
      <c r="G49" s="19" t="s">
        <v>174</v>
      </c>
      <c r="H49" s="77" t="s">
        <v>180</v>
      </c>
      <c r="I49" s="64">
        <v>387733637384</v>
      </c>
      <c r="J49" s="73" t="s">
        <v>176</v>
      </c>
      <c r="K49" s="19" t="s">
        <v>182</v>
      </c>
      <c r="L49" s="77" t="s">
        <v>180</v>
      </c>
      <c r="M49" s="77" t="s">
        <v>180</v>
      </c>
      <c r="N49" s="77" t="s">
        <v>180</v>
      </c>
      <c r="O49" s="58"/>
      <c r="P49" s="58" t="s">
        <v>98</v>
      </c>
      <c r="Q49" s="45"/>
    </row>
    <row r="50" spans="1:17" s="46" customFormat="1" ht="33.6" customHeight="1">
      <c r="A50" s="17">
        <v>39</v>
      </c>
      <c r="B50" s="19" t="s">
        <v>12</v>
      </c>
      <c r="C50" s="19" t="s">
        <v>183</v>
      </c>
      <c r="D50" s="17" t="s">
        <v>33</v>
      </c>
      <c r="E50" s="19" t="s">
        <v>88</v>
      </c>
      <c r="F50" s="19" t="s">
        <v>184</v>
      </c>
      <c r="G50" s="19"/>
      <c r="H50" s="73"/>
      <c r="I50" s="19"/>
      <c r="J50" s="73"/>
      <c r="K50" s="19"/>
      <c r="L50" s="19"/>
      <c r="M50" s="73"/>
      <c r="N50" s="73"/>
      <c r="O50" s="58"/>
      <c r="P50" s="58" t="s">
        <v>98</v>
      </c>
      <c r="Q50" s="45"/>
    </row>
    <row r="51" spans="1:17" s="46" customFormat="1" ht="33.6" customHeight="1">
      <c r="A51" s="17">
        <v>40</v>
      </c>
      <c r="B51" s="19" t="s">
        <v>13</v>
      </c>
      <c r="C51" s="19" t="s">
        <v>185</v>
      </c>
      <c r="D51" s="17" t="s">
        <v>33</v>
      </c>
      <c r="E51" s="19" t="s">
        <v>186</v>
      </c>
      <c r="F51" s="19" t="s">
        <v>187</v>
      </c>
      <c r="G51" s="19" t="s">
        <v>188</v>
      </c>
      <c r="H51" s="73" t="s">
        <v>189</v>
      </c>
      <c r="I51" s="19">
        <v>38733653093</v>
      </c>
      <c r="J51" s="73"/>
      <c r="K51" s="19"/>
      <c r="L51" s="19"/>
      <c r="M51" s="19"/>
      <c r="N51" s="73"/>
      <c r="O51" s="58"/>
      <c r="P51" s="58" t="s">
        <v>98</v>
      </c>
      <c r="Q51" s="45"/>
    </row>
    <row r="52" spans="1:17" s="40" customFormat="1" ht="33.6" customHeight="1">
      <c r="A52" s="17">
        <v>41</v>
      </c>
      <c r="B52" s="19" t="s">
        <v>14</v>
      </c>
      <c r="C52" s="19" t="s">
        <v>190</v>
      </c>
      <c r="D52" s="17" t="s">
        <v>33</v>
      </c>
      <c r="E52" s="19" t="s">
        <v>191</v>
      </c>
      <c r="F52" s="19" t="s">
        <v>192</v>
      </c>
      <c r="G52" s="19"/>
      <c r="H52" s="73"/>
      <c r="I52" s="19"/>
      <c r="J52" s="73"/>
      <c r="K52" s="19" t="s">
        <v>193</v>
      </c>
      <c r="L52" s="19"/>
      <c r="M52" s="19" t="s">
        <v>194</v>
      </c>
      <c r="N52" s="73"/>
      <c r="O52" s="58"/>
      <c r="P52" s="58" t="s">
        <v>98</v>
      </c>
      <c r="Q52" s="39"/>
    </row>
    <row r="53" spans="1:17" s="40" customFormat="1" ht="33.6" customHeight="1">
      <c r="A53" s="17">
        <v>42</v>
      </c>
      <c r="B53" s="19" t="s">
        <v>15</v>
      </c>
      <c r="C53" s="19"/>
      <c r="D53" s="17" t="s">
        <v>33</v>
      </c>
      <c r="E53" s="19" t="s">
        <v>88</v>
      </c>
      <c r="F53" s="19" t="s">
        <v>97</v>
      </c>
      <c r="G53" s="19"/>
      <c r="H53" s="73"/>
      <c r="I53" s="19"/>
      <c r="J53" s="73"/>
      <c r="K53" s="19"/>
      <c r="L53" s="19"/>
      <c r="M53" s="73"/>
      <c r="N53" s="73"/>
      <c r="O53" s="58"/>
      <c r="P53" s="58" t="s">
        <v>98</v>
      </c>
      <c r="Q53" s="39"/>
    </row>
    <row r="54" spans="1:17" s="40" customFormat="1" ht="33.6" customHeight="1">
      <c r="A54" s="17">
        <v>52</v>
      </c>
      <c r="B54" s="19" t="s">
        <v>16</v>
      </c>
      <c r="C54" s="19" t="s">
        <v>195</v>
      </c>
      <c r="D54" s="17" t="s">
        <v>33</v>
      </c>
      <c r="E54" s="19" t="s">
        <v>110</v>
      </c>
      <c r="F54" s="58"/>
      <c r="G54" s="58"/>
      <c r="H54" s="78" t="s">
        <v>196</v>
      </c>
      <c r="I54" s="58"/>
      <c r="J54" s="58"/>
      <c r="K54" s="19" t="s">
        <v>197</v>
      </c>
      <c r="L54" s="58"/>
      <c r="M54" s="58"/>
      <c r="N54" s="58"/>
      <c r="O54" s="58"/>
      <c r="P54" s="58" t="s">
        <v>167</v>
      </c>
      <c r="Q54" s="39"/>
    </row>
    <row r="55" spans="1:17" s="40" customFormat="1" ht="33.6" customHeight="1">
      <c r="A55" s="17">
        <v>58</v>
      </c>
      <c r="B55" s="19" t="s">
        <v>22</v>
      </c>
      <c r="C55" s="19" t="s">
        <v>198</v>
      </c>
      <c r="D55" s="17" t="s">
        <v>33</v>
      </c>
      <c r="E55" s="58" t="s">
        <v>199</v>
      </c>
      <c r="F55" s="58"/>
      <c r="G55" s="58"/>
      <c r="H55" s="19"/>
      <c r="I55" s="58"/>
      <c r="J55" s="58"/>
      <c r="K55" s="19" t="s">
        <v>200</v>
      </c>
      <c r="L55" s="58"/>
      <c r="M55" s="58"/>
      <c r="N55" s="58"/>
      <c r="O55" s="58"/>
      <c r="P55" s="58" t="s">
        <v>167</v>
      </c>
      <c r="Q55" s="39"/>
    </row>
    <row r="56" spans="1:17" s="40" customFormat="1" ht="33.6" customHeight="1">
      <c r="A56" s="17">
        <v>59</v>
      </c>
      <c r="B56" s="20" t="s">
        <v>23</v>
      </c>
      <c r="C56" s="20" t="s">
        <v>201</v>
      </c>
      <c r="D56" s="17" t="s">
        <v>33</v>
      </c>
      <c r="E56" s="58" t="s">
        <v>110</v>
      </c>
      <c r="F56" s="58"/>
      <c r="G56" s="58"/>
      <c r="H56" s="19"/>
      <c r="I56" s="58"/>
      <c r="J56" s="58"/>
      <c r="K56" s="19" t="s">
        <v>202</v>
      </c>
      <c r="L56" s="58"/>
      <c r="M56" s="58"/>
      <c r="N56" s="58"/>
      <c r="O56" s="58"/>
      <c r="P56" s="58" t="s">
        <v>167</v>
      </c>
      <c r="Q56" s="39"/>
    </row>
    <row r="57" spans="1:17" s="40" customFormat="1" ht="33.6" customHeight="1">
      <c r="A57" s="17">
        <v>60</v>
      </c>
      <c r="B57" s="19" t="s">
        <v>24</v>
      </c>
      <c r="C57" s="19"/>
      <c r="D57" s="17" t="s">
        <v>33</v>
      </c>
      <c r="E57" s="58" t="s">
        <v>88</v>
      </c>
      <c r="F57" s="58"/>
      <c r="G57" s="58"/>
      <c r="H57" s="73"/>
      <c r="I57" s="58"/>
      <c r="J57" s="58"/>
      <c r="K57" s="19"/>
      <c r="L57" s="58"/>
      <c r="M57" s="58"/>
      <c r="N57" s="58"/>
      <c r="O57" s="58"/>
      <c r="P57" s="58" t="s">
        <v>167</v>
      </c>
      <c r="Q57" s="39"/>
    </row>
    <row r="58" spans="1:17" s="40" customFormat="1" ht="33.6" customHeight="1">
      <c r="A58" s="17">
        <v>11</v>
      </c>
      <c r="B58" s="19" t="s">
        <v>34</v>
      </c>
      <c r="C58" s="24" t="s">
        <v>208</v>
      </c>
      <c r="D58" s="19" t="s">
        <v>33</v>
      </c>
      <c r="E58" s="24" t="s">
        <v>88</v>
      </c>
      <c r="F58" s="24" t="s">
        <v>89</v>
      </c>
      <c r="G58" s="24" t="s">
        <v>90</v>
      </c>
      <c r="H58" s="72" t="s">
        <v>91</v>
      </c>
      <c r="I58" s="62">
        <v>38733725207</v>
      </c>
      <c r="J58" s="72" t="s">
        <v>92</v>
      </c>
      <c r="K58" s="24" t="s">
        <v>209</v>
      </c>
      <c r="L58" s="24" t="s">
        <v>210</v>
      </c>
      <c r="M58" s="24" t="s">
        <v>95</v>
      </c>
      <c r="N58" s="24" t="s">
        <v>95</v>
      </c>
      <c r="O58" s="24" t="s">
        <v>95</v>
      </c>
      <c r="P58" s="38" t="s">
        <v>96</v>
      </c>
      <c r="Q58" s="39"/>
    </row>
    <row r="59" spans="1:17" s="40" customFormat="1" ht="33.6" customHeight="1">
      <c r="A59" s="17">
        <v>12</v>
      </c>
      <c r="B59" s="19" t="s">
        <v>35</v>
      </c>
      <c r="C59" s="19" t="s">
        <v>211</v>
      </c>
      <c r="D59" s="19" t="s">
        <v>33</v>
      </c>
      <c r="E59" s="17" t="s">
        <v>88</v>
      </c>
      <c r="F59" s="19" t="s">
        <v>212</v>
      </c>
      <c r="G59" s="19" t="s">
        <v>213</v>
      </c>
      <c r="H59" s="73" t="s">
        <v>214</v>
      </c>
      <c r="I59" s="19">
        <v>38733291190</v>
      </c>
      <c r="J59" s="19" t="s">
        <v>215</v>
      </c>
      <c r="K59" s="19" t="s">
        <v>216</v>
      </c>
      <c r="L59" s="19" t="s">
        <v>217</v>
      </c>
      <c r="M59" s="19" t="s">
        <v>218</v>
      </c>
      <c r="N59" s="19" t="s">
        <v>219</v>
      </c>
      <c r="O59" s="19" t="s">
        <v>220</v>
      </c>
      <c r="P59" s="38" t="s">
        <v>96</v>
      </c>
      <c r="Q59" s="39"/>
    </row>
    <row r="60" spans="1:17" s="46" customFormat="1" ht="33.6" customHeight="1">
      <c r="A60" s="17">
        <v>29</v>
      </c>
      <c r="B60" s="27" t="s">
        <v>38</v>
      </c>
      <c r="C60" s="19" t="s">
        <v>221</v>
      </c>
      <c r="D60" s="19" t="s">
        <v>33</v>
      </c>
      <c r="E60" s="27" t="s">
        <v>222</v>
      </c>
      <c r="F60" s="19" t="s">
        <v>173</v>
      </c>
      <c r="G60" s="19" t="s">
        <v>223</v>
      </c>
      <c r="H60" s="73" t="s">
        <v>224</v>
      </c>
      <c r="I60" s="19">
        <v>38733775723</v>
      </c>
      <c r="J60" s="73" t="s">
        <v>225</v>
      </c>
      <c r="K60" s="19" t="s">
        <v>226</v>
      </c>
      <c r="L60" s="27" t="s">
        <v>227</v>
      </c>
      <c r="M60" s="19" t="s">
        <v>228</v>
      </c>
      <c r="N60" s="73" t="s">
        <v>229</v>
      </c>
      <c r="O60" s="19"/>
      <c r="P60" s="38" t="s">
        <v>96</v>
      </c>
      <c r="Q60" s="45"/>
    </row>
    <row r="61" spans="1:17" s="46" customFormat="1" ht="33.6" customHeight="1">
      <c r="A61" s="17">
        <v>48</v>
      </c>
      <c r="B61" s="19" t="s">
        <v>37</v>
      </c>
      <c r="C61" s="19" t="s">
        <v>230</v>
      </c>
      <c r="D61" s="19" t="s">
        <v>33</v>
      </c>
      <c r="E61" s="19" t="s">
        <v>222</v>
      </c>
      <c r="F61" s="19" t="s">
        <v>231</v>
      </c>
      <c r="G61" s="19"/>
      <c r="H61" s="58"/>
      <c r="I61" s="58"/>
      <c r="J61" s="58"/>
      <c r="K61" s="58"/>
      <c r="L61" s="58"/>
      <c r="M61" s="58"/>
      <c r="N61" s="58"/>
      <c r="O61" s="58"/>
      <c r="P61" s="58" t="s">
        <v>98</v>
      </c>
      <c r="Q61" s="45"/>
    </row>
    <row r="62" spans="1:17" s="46" customFormat="1" ht="33.6" customHeight="1">
      <c r="A62" s="17">
        <v>47</v>
      </c>
      <c r="B62" s="19" t="s">
        <v>36</v>
      </c>
      <c r="C62" s="19" t="s">
        <v>232</v>
      </c>
      <c r="D62" s="19" t="s">
        <v>33</v>
      </c>
      <c r="E62" s="19" t="s">
        <v>88</v>
      </c>
      <c r="F62" s="19" t="s">
        <v>233</v>
      </c>
      <c r="G62" s="19" t="s">
        <v>234</v>
      </c>
      <c r="H62" s="73" t="s">
        <v>235</v>
      </c>
      <c r="I62" s="19">
        <v>38733214249</v>
      </c>
      <c r="J62" s="73"/>
      <c r="K62" s="19"/>
      <c r="L62" s="19"/>
      <c r="M62" s="73" t="s">
        <v>235</v>
      </c>
      <c r="N62" s="73" t="s">
        <v>235</v>
      </c>
      <c r="O62" s="58"/>
      <c r="P62" s="58" t="s">
        <v>98</v>
      </c>
      <c r="Q62" s="45"/>
    </row>
    <row r="63" spans="1:17" s="40" customFormat="1" ht="33.6" customHeight="1">
      <c r="A63" s="17">
        <v>24</v>
      </c>
      <c r="B63" s="19" t="s">
        <v>27</v>
      </c>
      <c r="C63" s="24" t="s">
        <v>203</v>
      </c>
      <c r="D63" s="58" t="s">
        <v>33</v>
      </c>
      <c r="E63" s="24" t="s">
        <v>88</v>
      </c>
      <c r="F63" s="24" t="s">
        <v>204</v>
      </c>
      <c r="G63" s="24" t="s">
        <v>90</v>
      </c>
      <c r="H63" s="24" t="s">
        <v>91</v>
      </c>
      <c r="I63" s="62">
        <v>38733725207</v>
      </c>
      <c r="J63" s="75" t="s">
        <v>92</v>
      </c>
      <c r="K63" s="24" t="s">
        <v>205</v>
      </c>
      <c r="L63" s="24" t="s">
        <v>206</v>
      </c>
      <c r="M63" s="24" t="s">
        <v>95</v>
      </c>
      <c r="N63" s="24" t="s">
        <v>95</v>
      </c>
      <c r="O63" s="24" t="s">
        <v>95</v>
      </c>
      <c r="P63" s="38" t="s">
        <v>96</v>
      </c>
      <c r="Q63" s="39"/>
    </row>
    <row r="64" spans="1:17" s="40" customFormat="1" ht="33.6" customHeight="1">
      <c r="A64" s="17">
        <v>22</v>
      </c>
      <c r="B64" s="19" t="s">
        <v>26</v>
      </c>
      <c r="C64" s="24" t="s">
        <v>87</v>
      </c>
      <c r="D64" s="17" t="s">
        <v>40</v>
      </c>
      <c r="E64" s="24" t="s">
        <v>88</v>
      </c>
      <c r="F64" s="24" t="s">
        <v>89</v>
      </c>
      <c r="G64" s="24" t="s">
        <v>90</v>
      </c>
      <c r="H64" s="72" t="s">
        <v>91</v>
      </c>
      <c r="I64" s="62">
        <v>38733725207</v>
      </c>
      <c r="J64" s="72" t="s">
        <v>92</v>
      </c>
      <c r="K64" s="24" t="s">
        <v>93</v>
      </c>
      <c r="L64" s="24" t="s">
        <v>94</v>
      </c>
      <c r="M64" s="24" t="s">
        <v>95</v>
      </c>
      <c r="N64" s="24" t="s">
        <v>95</v>
      </c>
      <c r="O64" s="24" t="s">
        <v>95</v>
      </c>
      <c r="P64" s="38" t="s">
        <v>96</v>
      </c>
      <c r="Q64" s="39"/>
    </row>
    <row r="65" spans="1:17" s="40" customFormat="1" ht="33.6" customHeight="1">
      <c r="A65" s="17">
        <v>4</v>
      </c>
      <c r="B65" s="22" t="s">
        <v>5</v>
      </c>
      <c r="C65" s="22" t="s">
        <v>124</v>
      </c>
      <c r="D65" s="17" t="s">
        <v>40</v>
      </c>
      <c r="E65" s="22" t="s">
        <v>110</v>
      </c>
      <c r="F65" s="22" t="s">
        <v>125</v>
      </c>
      <c r="G65" s="22" t="s">
        <v>126</v>
      </c>
      <c r="H65" s="75" t="s">
        <v>127</v>
      </c>
      <c r="I65" s="19">
        <v>38733492125</v>
      </c>
      <c r="J65" s="76" t="s">
        <v>128</v>
      </c>
      <c r="K65" s="22" t="s">
        <v>129</v>
      </c>
      <c r="L65" s="22" t="s">
        <v>130</v>
      </c>
      <c r="M65" s="22" t="s">
        <v>131</v>
      </c>
      <c r="N65" s="76" t="s">
        <v>132</v>
      </c>
      <c r="O65" s="22" t="s">
        <v>133</v>
      </c>
      <c r="P65" s="38" t="s">
        <v>96</v>
      </c>
      <c r="Q65" s="39"/>
    </row>
    <row r="66" spans="1:17" s="40" customFormat="1" ht="33.6" customHeight="1">
      <c r="A66" s="17">
        <v>7</v>
      </c>
      <c r="B66" s="19" t="s">
        <v>8</v>
      </c>
      <c r="C66" s="24" t="s">
        <v>134</v>
      </c>
      <c r="D66" s="17" t="s">
        <v>40</v>
      </c>
      <c r="E66" s="24" t="s">
        <v>88</v>
      </c>
      <c r="F66" s="24" t="s">
        <v>135</v>
      </c>
      <c r="G66" s="24" t="s">
        <v>90</v>
      </c>
      <c r="H66" s="72" t="s">
        <v>91</v>
      </c>
      <c r="I66" s="62">
        <v>38733725207</v>
      </c>
      <c r="J66" s="72" t="s">
        <v>92</v>
      </c>
      <c r="K66" s="24" t="s">
        <v>136</v>
      </c>
      <c r="L66" s="24" t="s">
        <v>137</v>
      </c>
      <c r="M66" s="24" t="s">
        <v>95</v>
      </c>
      <c r="N66" s="24" t="s">
        <v>95</v>
      </c>
      <c r="O66" s="24" t="s">
        <v>95</v>
      </c>
      <c r="P66" s="38" t="s">
        <v>96</v>
      </c>
      <c r="Q66" s="39"/>
    </row>
    <row r="67" spans="1:17" s="40" customFormat="1" ht="33.6" customHeight="1">
      <c r="A67" s="17">
        <v>8</v>
      </c>
      <c r="B67" s="19" t="s">
        <v>9</v>
      </c>
      <c r="C67" s="24" t="s">
        <v>138</v>
      </c>
      <c r="D67" s="17" t="s">
        <v>40</v>
      </c>
      <c r="E67" s="24" t="s">
        <v>88</v>
      </c>
      <c r="F67" s="24" t="s">
        <v>89</v>
      </c>
      <c r="G67" s="24" t="s">
        <v>90</v>
      </c>
      <c r="H67" s="72" t="s">
        <v>91</v>
      </c>
      <c r="I67" s="62">
        <v>38733725207</v>
      </c>
      <c r="J67" s="72" t="s">
        <v>92</v>
      </c>
      <c r="K67" s="24" t="s">
        <v>139</v>
      </c>
      <c r="L67" s="24" t="s">
        <v>140</v>
      </c>
      <c r="M67" s="24" t="s">
        <v>95</v>
      </c>
      <c r="N67" s="24" t="s">
        <v>95</v>
      </c>
      <c r="O67" s="24" t="s">
        <v>95</v>
      </c>
      <c r="P67" s="38" t="s">
        <v>96</v>
      </c>
      <c r="Q67" s="39"/>
    </row>
    <row r="68" spans="1:17" s="40" customFormat="1" ht="33.6" customHeight="1">
      <c r="A68" s="17">
        <v>9</v>
      </c>
      <c r="B68" s="19" t="s">
        <v>10</v>
      </c>
      <c r="C68" s="24" t="s">
        <v>141</v>
      </c>
      <c r="D68" s="17" t="s">
        <v>40</v>
      </c>
      <c r="E68" s="24" t="s">
        <v>88</v>
      </c>
      <c r="F68" s="24" t="s">
        <v>89</v>
      </c>
      <c r="G68" s="24" t="s">
        <v>90</v>
      </c>
      <c r="H68" s="72" t="s">
        <v>91</v>
      </c>
      <c r="I68" s="62">
        <v>38733725207</v>
      </c>
      <c r="J68" s="72" t="s">
        <v>92</v>
      </c>
      <c r="K68" s="25" t="s">
        <v>142</v>
      </c>
      <c r="L68" s="24" t="s">
        <v>143</v>
      </c>
      <c r="M68" s="24" t="s">
        <v>95</v>
      </c>
      <c r="N68" s="24" t="s">
        <v>95</v>
      </c>
      <c r="O68" s="24" t="s">
        <v>95</v>
      </c>
      <c r="P68" s="38" t="s">
        <v>96</v>
      </c>
      <c r="Q68" s="39"/>
    </row>
    <row r="69" spans="1:17" s="40" customFormat="1" ht="33.6" customHeight="1">
      <c r="A69" s="17">
        <v>15</v>
      </c>
      <c r="B69" s="17" t="s">
        <v>17</v>
      </c>
      <c r="C69" s="17" t="s">
        <v>144</v>
      </c>
      <c r="D69" s="17" t="s">
        <v>40</v>
      </c>
      <c r="E69" s="17" t="s">
        <v>110</v>
      </c>
      <c r="F69" s="17" t="s">
        <v>111</v>
      </c>
      <c r="G69" s="17" t="s">
        <v>112</v>
      </c>
      <c r="H69" s="75" t="s">
        <v>113</v>
      </c>
      <c r="I69" s="17">
        <v>38733723635</v>
      </c>
      <c r="J69" s="75" t="s">
        <v>145</v>
      </c>
      <c r="K69" s="17" t="s">
        <v>146</v>
      </c>
      <c r="L69" s="17" t="s">
        <v>147</v>
      </c>
      <c r="M69" s="75" t="s">
        <v>148</v>
      </c>
      <c r="N69" s="75" t="s">
        <v>148</v>
      </c>
      <c r="O69" s="17"/>
      <c r="P69" s="38" t="s">
        <v>96</v>
      </c>
      <c r="Q69" s="39"/>
    </row>
    <row r="70" spans="1:17" s="40" customFormat="1" ht="33.6" customHeight="1">
      <c r="A70" s="17">
        <v>19</v>
      </c>
      <c r="B70" s="17" t="s">
        <v>20</v>
      </c>
      <c r="C70" s="17" t="s">
        <v>149</v>
      </c>
      <c r="D70" s="17" t="s">
        <v>40</v>
      </c>
      <c r="E70" s="17" t="s">
        <v>110</v>
      </c>
      <c r="F70" s="17" t="s">
        <v>111</v>
      </c>
      <c r="G70" s="17" t="s">
        <v>112</v>
      </c>
      <c r="H70" s="75" t="s">
        <v>113</v>
      </c>
      <c r="I70" s="17">
        <v>38733723635</v>
      </c>
      <c r="J70" s="75" t="s">
        <v>145</v>
      </c>
      <c r="K70" s="17" t="s">
        <v>146</v>
      </c>
      <c r="L70" s="17" t="s">
        <v>150</v>
      </c>
      <c r="M70" s="75" t="s">
        <v>151</v>
      </c>
      <c r="N70" s="75" t="s">
        <v>151</v>
      </c>
      <c r="O70" s="17"/>
      <c r="P70" s="38" t="s">
        <v>96</v>
      </c>
      <c r="Q70" s="39"/>
    </row>
    <row r="71" spans="1:17" s="40" customFormat="1" ht="33.6" customHeight="1">
      <c r="A71" s="17">
        <v>20</v>
      </c>
      <c r="B71" s="17" t="s">
        <v>21</v>
      </c>
      <c r="C71" s="17" t="s">
        <v>152</v>
      </c>
      <c r="D71" s="17" t="s">
        <v>40</v>
      </c>
      <c r="E71" s="17" t="s">
        <v>110</v>
      </c>
      <c r="F71" s="17" t="s">
        <v>111</v>
      </c>
      <c r="G71" s="17" t="s">
        <v>112</v>
      </c>
      <c r="H71" s="75" t="s">
        <v>113</v>
      </c>
      <c r="I71" s="17">
        <v>38733723635</v>
      </c>
      <c r="J71" s="75" t="s">
        <v>145</v>
      </c>
      <c r="K71" s="17" t="s">
        <v>146</v>
      </c>
      <c r="L71" s="17" t="s">
        <v>153</v>
      </c>
      <c r="M71" s="75" t="s">
        <v>154</v>
      </c>
      <c r="N71" s="75" t="s">
        <v>154</v>
      </c>
      <c r="O71" s="17"/>
      <c r="P71" s="38" t="s">
        <v>96</v>
      </c>
      <c r="Q71" s="39"/>
    </row>
    <row r="72" spans="1:17" s="40" customFormat="1" ht="33.6" customHeight="1">
      <c r="A72" s="17">
        <v>21</v>
      </c>
      <c r="B72" s="17" t="s">
        <v>25</v>
      </c>
      <c r="C72" s="17" t="s">
        <v>25</v>
      </c>
      <c r="D72" s="17" t="s">
        <v>40</v>
      </c>
      <c r="E72" s="17" t="s">
        <v>110</v>
      </c>
      <c r="F72" s="17" t="s">
        <v>111</v>
      </c>
      <c r="G72" s="17" t="s">
        <v>112</v>
      </c>
      <c r="H72" s="75" t="s">
        <v>113</v>
      </c>
      <c r="I72" s="17">
        <v>38733723635</v>
      </c>
      <c r="J72" s="75" t="s">
        <v>145</v>
      </c>
      <c r="K72" s="17" t="s">
        <v>155</v>
      </c>
      <c r="L72" s="17" t="s">
        <v>156</v>
      </c>
      <c r="M72" s="75" t="s">
        <v>157</v>
      </c>
      <c r="N72" s="75" t="s">
        <v>158</v>
      </c>
      <c r="O72" s="17"/>
      <c r="P72" s="38" t="s">
        <v>96</v>
      </c>
      <c r="Q72" s="39"/>
    </row>
    <row r="73" spans="1:17" s="40" customFormat="1" ht="33.6" customHeight="1">
      <c r="A73" s="17">
        <v>53</v>
      </c>
      <c r="B73" s="19" t="s">
        <v>19</v>
      </c>
      <c r="C73" s="19" t="s">
        <v>165</v>
      </c>
      <c r="D73" s="17" t="s">
        <v>40</v>
      </c>
      <c r="E73" s="19" t="s">
        <v>110</v>
      </c>
      <c r="F73" s="58"/>
      <c r="G73" s="58"/>
      <c r="H73" s="58"/>
      <c r="I73" s="58"/>
      <c r="J73" s="58"/>
      <c r="K73" s="19" t="s">
        <v>166</v>
      </c>
      <c r="L73" s="58"/>
      <c r="M73" s="58"/>
      <c r="N73" s="58"/>
      <c r="O73" s="58"/>
      <c r="P73" s="58" t="s">
        <v>167</v>
      </c>
      <c r="Q73" s="39"/>
    </row>
    <row r="74" spans="1:17" s="40" customFormat="1" ht="33.6" customHeight="1">
      <c r="A74" s="17">
        <v>31</v>
      </c>
      <c r="B74" s="19" t="s">
        <v>3</v>
      </c>
      <c r="C74" s="19" t="s">
        <v>168</v>
      </c>
      <c r="D74" s="17" t="s">
        <v>40</v>
      </c>
      <c r="E74" s="19" t="s">
        <v>88</v>
      </c>
      <c r="F74" s="19" t="s">
        <v>169</v>
      </c>
      <c r="G74" s="19" t="s">
        <v>170</v>
      </c>
      <c r="H74" s="73"/>
      <c r="I74" s="19">
        <v>38733285261</v>
      </c>
      <c r="J74" s="73"/>
      <c r="K74" s="19"/>
      <c r="L74" s="19" t="s">
        <v>171</v>
      </c>
      <c r="M74" s="73"/>
      <c r="N74" s="73"/>
      <c r="O74" s="58"/>
      <c r="P74" s="58" t="s">
        <v>98</v>
      </c>
      <c r="Q74" s="39"/>
    </row>
    <row r="75" spans="1:17" s="40" customFormat="1" ht="33.6" customHeight="1">
      <c r="A75" s="17">
        <v>34</v>
      </c>
      <c r="B75" s="19" t="s">
        <v>6</v>
      </c>
      <c r="C75" s="19" t="s">
        <v>172</v>
      </c>
      <c r="D75" s="17" t="s">
        <v>40</v>
      </c>
      <c r="E75" s="19" t="s">
        <v>110</v>
      </c>
      <c r="F75" s="19" t="s">
        <v>173</v>
      </c>
      <c r="G75" s="19" t="s">
        <v>174</v>
      </c>
      <c r="H75" s="73" t="s">
        <v>175</v>
      </c>
      <c r="I75" s="64">
        <v>387733637384</v>
      </c>
      <c r="J75" s="73" t="s">
        <v>176</v>
      </c>
      <c r="K75" s="19" t="s">
        <v>177</v>
      </c>
      <c r="L75" s="19" t="s">
        <v>178</v>
      </c>
      <c r="M75" s="19" t="s">
        <v>179</v>
      </c>
      <c r="N75" s="77" t="s">
        <v>180</v>
      </c>
      <c r="O75" s="58"/>
      <c r="P75" s="58" t="s">
        <v>98</v>
      </c>
      <c r="Q75" s="39"/>
    </row>
    <row r="76" spans="1:17" s="40" customFormat="1" ht="33.6" customHeight="1">
      <c r="A76" s="17">
        <v>36</v>
      </c>
      <c r="B76" s="19" t="s">
        <v>7</v>
      </c>
      <c r="C76" s="19" t="s">
        <v>181</v>
      </c>
      <c r="D76" s="17" t="s">
        <v>40</v>
      </c>
      <c r="E76" s="19" t="s">
        <v>88</v>
      </c>
      <c r="F76" s="19" t="s">
        <v>173</v>
      </c>
      <c r="G76" s="19" t="s">
        <v>174</v>
      </c>
      <c r="H76" s="77" t="s">
        <v>180</v>
      </c>
      <c r="I76" s="64">
        <v>387733637384</v>
      </c>
      <c r="J76" s="73" t="s">
        <v>176</v>
      </c>
      <c r="K76" s="19" t="s">
        <v>182</v>
      </c>
      <c r="L76" s="77" t="s">
        <v>180</v>
      </c>
      <c r="M76" s="77" t="s">
        <v>180</v>
      </c>
      <c r="N76" s="77" t="s">
        <v>180</v>
      </c>
      <c r="O76" s="58"/>
      <c r="P76" s="58" t="s">
        <v>98</v>
      </c>
      <c r="Q76" s="39"/>
    </row>
    <row r="77" spans="1:17" s="40" customFormat="1" ht="33.6" customHeight="1">
      <c r="A77" s="17">
        <v>39</v>
      </c>
      <c r="B77" s="19" t="s">
        <v>12</v>
      </c>
      <c r="C77" s="19" t="s">
        <v>183</v>
      </c>
      <c r="D77" s="17" t="s">
        <v>40</v>
      </c>
      <c r="E77" s="19" t="s">
        <v>88</v>
      </c>
      <c r="F77" s="19" t="s">
        <v>184</v>
      </c>
      <c r="G77" s="19"/>
      <c r="H77" s="73"/>
      <c r="I77" s="19"/>
      <c r="J77" s="73"/>
      <c r="K77" s="19"/>
      <c r="L77" s="19"/>
      <c r="M77" s="73"/>
      <c r="N77" s="73"/>
      <c r="O77" s="58"/>
      <c r="P77" s="58" t="s">
        <v>98</v>
      </c>
      <c r="Q77" s="39"/>
    </row>
    <row r="78" spans="1:17" s="40" customFormat="1" ht="33.6" customHeight="1">
      <c r="A78" s="17">
        <v>40</v>
      </c>
      <c r="B78" s="19" t="s">
        <v>13</v>
      </c>
      <c r="C78" s="19" t="s">
        <v>185</v>
      </c>
      <c r="D78" s="17" t="s">
        <v>40</v>
      </c>
      <c r="E78" s="19" t="s">
        <v>186</v>
      </c>
      <c r="F78" s="19" t="s">
        <v>187</v>
      </c>
      <c r="G78" s="19" t="s">
        <v>188</v>
      </c>
      <c r="H78" s="73" t="s">
        <v>189</v>
      </c>
      <c r="I78" s="19">
        <v>38733653093</v>
      </c>
      <c r="J78" s="73"/>
      <c r="K78" s="19"/>
      <c r="L78" s="19"/>
      <c r="M78" s="19"/>
      <c r="N78" s="73"/>
      <c r="O78" s="58"/>
      <c r="P78" s="58" t="s">
        <v>98</v>
      </c>
      <c r="Q78" s="39"/>
    </row>
    <row r="79" spans="1:17" s="40" customFormat="1" ht="33.6" customHeight="1">
      <c r="A79" s="17">
        <v>41</v>
      </c>
      <c r="B79" s="19" t="s">
        <v>14</v>
      </c>
      <c r="C79" s="19" t="s">
        <v>190</v>
      </c>
      <c r="D79" s="17" t="s">
        <v>40</v>
      </c>
      <c r="E79" s="19" t="s">
        <v>191</v>
      </c>
      <c r="F79" s="19" t="s">
        <v>192</v>
      </c>
      <c r="G79" s="19"/>
      <c r="H79" s="73"/>
      <c r="I79" s="19"/>
      <c r="J79" s="73"/>
      <c r="K79" s="19" t="s">
        <v>193</v>
      </c>
      <c r="L79" s="19"/>
      <c r="M79" s="19" t="s">
        <v>194</v>
      </c>
      <c r="N79" s="73"/>
      <c r="O79" s="58"/>
      <c r="P79" s="58" t="s">
        <v>98</v>
      </c>
      <c r="Q79" s="39"/>
    </row>
    <row r="80" spans="1:17" s="40" customFormat="1" ht="33.6" customHeight="1">
      <c r="A80" s="17">
        <v>42</v>
      </c>
      <c r="B80" s="19" t="s">
        <v>15</v>
      </c>
      <c r="C80" s="19"/>
      <c r="D80" s="17" t="s">
        <v>40</v>
      </c>
      <c r="E80" s="19" t="s">
        <v>88</v>
      </c>
      <c r="F80" s="19" t="s">
        <v>97</v>
      </c>
      <c r="G80" s="19"/>
      <c r="H80" s="73"/>
      <c r="I80" s="19"/>
      <c r="J80" s="73"/>
      <c r="K80" s="19"/>
      <c r="L80" s="19"/>
      <c r="M80" s="73"/>
      <c r="N80" s="73"/>
      <c r="O80" s="58"/>
      <c r="P80" s="58" t="s">
        <v>98</v>
      </c>
      <c r="Q80" s="39"/>
    </row>
    <row r="81" spans="1:17" s="40" customFormat="1" ht="33.6" customHeight="1">
      <c r="A81" s="17">
        <v>52</v>
      </c>
      <c r="B81" s="19" t="s">
        <v>16</v>
      </c>
      <c r="C81" s="19" t="s">
        <v>195</v>
      </c>
      <c r="D81" s="17" t="s">
        <v>40</v>
      </c>
      <c r="E81" s="19" t="s">
        <v>110</v>
      </c>
      <c r="F81" s="58"/>
      <c r="G81" s="58"/>
      <c r="H81" s="78" t="s">
        <v>196</v>
      </c>
      <c r="I81" s="58"/>
      <c r="J81" s="58"/>
      <c r="K81" s="19" t="s">
        <v>197</v>
      </c>
      <c r="L81" s="58"/>
      <c r="M81" s="58"/>
      <c r="N81" s="58"/>
      <c r="O81" s="58"/>
      <c r="P81" s="58" t="s">
        <v>167</v>
      </c>
      <c r="Q81" s="39"/>
    </row>
    <row r="82" spans="1:17" s="40" customFormat="1" ht="33.6" customHeight="1">
      <c r="A82" s="17">
        <v>58</v>
      </c>
      <c r="B82" s="19" t="s">
        <v>22</v>
      </c>
      <c r="C82" s="19" t="s">
        <v>198</v>
      </c>
      <c r="D82" s="17" t="s">
        <v>40</v>
      </c>
      <c r="E82" s="58" t="s">
        <v>199</v>
      </c>
      <c r="F82" s="58"/>
      <c r="G82" s="58"/>
      <c r="H82" s="19"/>
      <c r="I82" s="58"/>
      <c r="J82" s="58"/>
      <c r="K82" s="19" t="s">
        <v>200</v>
      </c>
      <c r="L82" s="58"/>
      <c r="M82" s="58"/>
      <c r="N82" s="58"/>
      <c r="O82" s="58"/>
      <c r="P82" s="58" t="s">
        <v>167</v>
      </c>
      <c r="Q82" s="39"/>
    </row>
    <row r="83" spans="1:17" s="40" customFormat="1" ht="33.6" customHeight="1">
      <c r="A83" s="17">
        <v>59</v>
      </c>
      <c r="B83" s="20" t="s">
        <v>23</v>
      </c>
      <c r="C83" s="20" t="s">
        <v>201</v>
      </c>
      <c r="D83" s="17" t="s">
        <v>40</v>
      </c>
      <c r="E83" s="58" t="s">
        <v>110</v>
      </c>
      <c r="F83" s="58"/>
      <c r="G83" s="58"/>
      <c r="H83" s="19"/>
      <c r="I83" s="58"/>
      <c r="J83" s="58"/>
      <c r="K83" s="19" t="s">
        <v>202</v>
      </c>
      <c r="L83" s="58"/>
      <c r="M83" s="58"/>
      <c r="N83" s="58"/>
      <c r="O83" s="58"/>
      <c r="P83" s="58" t="s">
        <v>167</v>
      </c>
      <c r="Q83" s="39"/>
    </row>
    <row r="84" spans="1:17" s="40" customFormat="1" ht="33.6" customHeight="1">
      <c r="A84" s="17">
        <v>60</v>
      </c>
      <c r="B84" s="19" t="s">
        <v>24</v>
      </c>
      <c r="C84" s="19"/>
      <c r="D84" s="17" t="s">
        <v>40</v>
      </c>
      <c r="E84" s="58" t="s">
        <v>88</v>
      </c>
      <c r="F84" s="58"/>
      <c r="G84" s="58"/>
      <c r="H84" s="73"/>
      <c r="I84" s="58"/>
      <c r="J84" s="58"/>
      <c r="K84" s="19"/>
      <c r="L84" s="58"/>
      <c r="M84" s="58"/>
      <c r="N84" s="58"/>
      <c r="O84" s="58"/>
      <c r="P84" s="58" t="s">
        <v>167</v>
      </c>
      <c r="Q84" s="39"/>
    </row>
    <row r="85" spans="1:17" s="40" customFormat="1" ht="33.6" customHeight="1">
      <c r="A85" s="17">
        <v>17</v>
      </c>
      <c r="B85" s="17" t="s">
        <v>46</v>
      </c>
      <c r="C85" s="17" t="s">
        <v>236</v>
      </c>
      <c r="D85" s="17" t="s">
        <v>40</v>
      </c>
      <c r="E85" s="17" t="s">
        <v>110</v>
      </c>
      <c r="F85" s="17" t="s">
        <v>111</v>
      </c>
      <c r="G85" s="17" t="s">
        <v>112</v>
      </c>
      <c r="H85" s="75" t="s">
        <v>113</v>
      </c>
      <c r="I85" s="17">
        <v>38733723635</v>
      </c>
      <c r="J85" s="75" t="s">
        <v>145</v>
      </c>
      <c r="K85" s="17" t="s">
        <v>237</v>
      </c>
      <c r="L85" s="17" t="s">
        <v>238</v>
      </c>
      <c r="M85" s="51" t="s">
        <v>239</v>
      </c>
      <c r="N85" s="75" t="s">
        <v>240</v>
      </c>
      <c r="O85" s="17"/>
      <c r="P85" s="38" t="s">
        <v>96</v>
      </c>
      <c r="Q85" s="39"/>
    </row>
    <row r="86" spans="1:17" s="40" customFormat="1" ht="33.6" customHeight="1">
      <c r="A86" s="19">
        <v>18</v>
      </c>
      <c r="B86" s="19" t="s">
        <v>47</v>
      </c>
      <c r="C86" s="19" t="s">
        <v>241</v>
      </c>
      <c r="D86" s="19" t="s">
        <v>40</v>
      </c>
      <c r="E86" s="19" t="s">
        <v>222</v>
      </c>
      <c r="F86" s="19" t="s">
        <v>242</v>
      </c>
      <c r="G86" s="19" t="s">
        <v>243</v>
      </c>
      <c r="H86" s="73" t="s">
        <v>244</v>
      </c>
      <c r="I86" s="19">
        <v>38733717740</v>
      </c>
      <c r="J86" s="73" t="s">
        <v>245</v>
      </c>
      <c r="K86" s="19" t="s">
        <v>246</v>
      </c>
      <c r="L86" s="19" t="s">
        <v>247</v>
      </c>
      <c r="M86" s="19" t="s">
        <v>248</v>
      </c>
      <c r="N86" s="73" t="s">
        <v>249</v>
      </c>
      <c r="O86" s="19" t="s">
        <v>250</v>
      </c>
      <c r="P86" s="38" t="s">
        <v>96</v>
      </c>
      <c r="Q86" s="39"/>
    </row>
    <row r="87" spans="1:17" s="40" customFormat="1" ht="33.6" customHeight="1">
      <c r="A87" s="17">
        <v>55</v>
      </c>
      <c r="B87" s="19" t="s">
        <v>48</v>
      </c>
      <c r="C87" s="19" t="s">
        <v>251</v>
      </c>
      <c r="D87" s="19" t="s">
        <v>40</v>
      </c>
      <c r="E87" s="19" t="s">
        <v>199</v>
      </c>
      <c r="F87" s="58"/>
      <c r="G87" s="58"/>
      <c r="H87" s="73"/>
      <c r="I87" s="58"/>
      <c r="J87" s="58"/>
      <c r="K87" s="19" t="s">
        <v>252</v>
      </c>
      <c r="L87" s="58"/>
      <c r="M87" s="58"/>
      <c r="N87" s="58"/>
      <c r="O87" s="58"/>
      <c r="P87" s="58" t="s">
        <v>167</v>
      </c>
      <c r="Q87" s="39"/>
    </row>
    <row r="88" spans="1:17" s="40" customFormat="1" ht="33.6" customHeight="1">
      <c r="A88" s="17">
        <v>57</v>
      </c>
      <c r="B88" s="19" t="s">
        <v>49</v>
      </c>
      <c r="C88" s="19" t="s">
        <v>253</v>
      </c>
      <c r="D88" s="19" t="s">
        <v>40</v>
      </c>
      <c r="E88" s="19" t="s">
        <v>199</v>
      </c>
      <c r="F88" s="58"/>
      <c r="G88" s="58"/>
      <c r="H88" s="19"/>
      <c r="I88" s="58"/>
      <c r="J88" s="58"/>
      <c r="K88" s="19" t="s">
        <v>254</v>
      </c>
      <c r="L88" s="58"/>
      <c r="M88" s="58"/>
      <c r="N88" s="58"/>
      <c r="O88" s="58"/>
      <c r="P88" s="58" t="s">
        <v>167</v>
      </c>
      <c r="Q88" s="39"/>
    </row>
    <row r="89" spans="1:17" s="40" customFormat="1" ht="33.6" customHeight="1">
      <c r="A89" s="19">
        <v>3</v>
      </c>
      <c r="B89" s="19" t="s">
        <v>41</v>
      </c>
      <c r="C89" s="19" t="s">
        <v>255</v>
      </c>
      <c r="D89" s="19" t="s">
        <v>40</v>
      </c>
      <c r="E89" s="17" t="s">
        <v>110</v>
      </c>
      <c r="F89" s="19" t="s">
        <v>256</v>
      </c>
      <c r="G89" s="19" t="s">
        <v>257</v>
      </c>
      <c r="H89" s="73" t="s">
        <v>258</v>
      </c>
      <c r="I89" s="19">
        <v>38733226445</v>
      </c>
      <c r="J89" s="19"/>
      <c r="K89" s="19" t="s">
        <v>259</v>
      </c>
      <c r="L89" s="19" t="s">
        <v>260</v>
      </c>
      <c r="M89" s="19" t="s">
        <v>261</v>
      </c>
      <c r="N89" s="73" t="s">
        <v>262</v>
      </c>
      <c r="O89" s="73" t="s">
        <v>258</v>
      </c>
      <c r="P89" s="38" t="s">
        <v>96</v>
      </c>
      <c r="Q89" s="39"/>
    </row>
    <row r="90" spans="1:17" s="40" customFormat="1" ht="33.6" customHeight="1">
      <c r="A90" s="19">
        <v>10</v>
      </c>
      <c r="B90" s="17" t="s">
        <v>42</v>
      </c>
      <c r="C90" s="17" t="s">
        <v>263</v>
      </c>
      <c r="D90" s="17" t="s">
        <v>40</v>
      </c>
      <c r="E90" s="17" t="s">
        <v>88</v>
      </c>
      <c r="F90" s="17" t="s">
        <v>264</v>
      </c>
      <c r="G90" s="17" t="s">
        <v>265</v>
      </c>
      <c r="H90" s="75" t="s">
        <v>266</v>
      </c>
      <c r="I90" s="17">
        <v>38733562027</v>
      </c>
      <c r="J90" s="75" t="s">
        <v>267</v>
      </c>
      <c r="K90" s="17" t="s">
        <v>268</v>
      </c>
      <c r="L90" s="17"/>
      <c r="M90" s="75" t="s">
        <v>269</v>
      </c>
      <c r="N90" s="75" t="s">
        <v>269</v>
      </c>
      <c r="O90" s="17"/>
      <c r="P90" s="38" t="s">
        <v>96</v>
      </c>
      <c r="Q90" s="39"/>
    </row>
    <row r="91" spans="1:17" s="46" customFormat="1" ht="33.6" customHeight="1">
      <c r="A91" s="17">
        <v>38</v>
      </c>
      <c r="B91" s="19" t="s">
        <v>44</v>
      </c>
      <c r="C91" s="19" t="s">
        <v>270</v>
      </c>
      <c r="D91" s="19" t="s">
        <v>40</v>
      </c>
      <c r="E91" s="19" t="s">
        <v>271</v>
      </c>
      <c r="F91" s="19" t="s">
        <v>272</v>
      </c>
      <c r="G91" s="19"/>
      <c r="H91" s="73"/>
      <c r="I91" s="19"/>
      <c r="J91" s="73"/>
      <c r="K91" s="19"/>
      <c r="L91" s="19" t="s">
        <v>273</v>
      </c>
      <c r="M91" s="30" t="s">
        <v>274</v>
      </c>
      <c r="N91" s="73"/>
      <c r="O91" s="58"/>
      <c r="P91" s="58" t="s">
        <v>98</v>
      </c>
      <c r="Q91" s="45"/>
    </row>
    <row r="92" spans="1:17" s="46" customFormat="1" ht="33.6" customHeight="1">
      <c r="A92" s="17">
        <v>24</v>
      </c>
      <c r="B92" s="19" t="s">
        <v>27</v>
      </c>
      <c r="C92" s="24" t="s">
        <v>203</v>
      </c>
      <c r="D92" s="58" t="s">
        <v>40</v>
      </c>
      <c r="E92" s="24" t="s">
        <v>88</v>
      </c>
      <c r="F92" s="24" t="s">
        <v>204</v>
      </c>
      <c r="G92" s="24" t="s">
        <v>90</v>
      </c>
      <c r="H92" s="24" t="s">
        <v>91</v>
      </c>
      <c r="I92" s="62">
        <v>38733725207</v>
      </c>
      <c r="J92" s="75" t="s">
        <v>92</v>
      </c>
      <c r="K92" s="24" t="s">
        <v>205</v>
      </c>
      <c r="L92" s="24" t="s">
        <v>206</v>
      </c>
      <c r="M92" s="24" t="s">
        <v>95</v>
      </c>
      <c r="N92" s="24" t="s">
        <v>95</v>
      </c>
      <c r="O92" s="24" t="s">
        <v>95</v>
      </c>
      <c r="P92" s="38" t="s">
        <v>96</v>
      </c>
      <c r="Q92" s="45"/>
    </row>
    <row r="93" spans="1:17" s="46" customFormat="1" ht="33.6" customHeight="1">
      <c r="A93" s="17">
        <v>37</v>
      </c>
      <c r="B93" s="19" t="s">
        <v>43</v>
      </c>
      <c r="C93" s="19" t="s">
        <v>275</v>
      </c>
      <c r="D93" s="19" t="s">
        <v>40</v>
      </c>
      <c r="E93" s="19" t="s">
        <v>186</v>
      </c>
      <c r="F93" s="19" t="s">
        <v>276</v>
      </c>
      <c r="G93" s="19" t="s">
        <v>277</v>
      </c>
      <c r="H93" s="73"/>
      <c r="I93" s="19"/>
      <c r="J93" s="75"/>
      <c r="K93" s="19"/>
      <c r="L93" s="19" t="s">
        <v>278</v>
      </c>
      <c r="M93" s="19" t="s">
        <v>279</v>
      </c>
      <c r="N93" s="73"/>
      <c r="O93" s="58"/>
      <c r="P93" s="58" t="s">
        <v>98</v>
      </c>
      <c r="Q93" s="45"/>
    </row>
    <row r="94" spans="1:17" s="46" customFormat="1" ht="33.6" customHeight="1">
      <c r="A94" s="17">
        <v>43</v>
      </c>
      <c r="B94" s="19" t="s">
        <v>45</v>
      </c>
      <c r="C94" s="19"/>
      <c r="D94" s="19" t="s">
        <v>40</v>
      </c>
      <c r="E94" s="19" t="s">
        <v>271</v>
      </c>
      <c r="F94" s="19"/>
      <c r="G94" s="19"/>
      <c r="H94" s="73"/>
      <c r="I94" s="19"/>
      <c r="J94" s="75"/>
      <c r="K94" s="73" t="s">
        <v>280</v>
      </c>
      <c r="L94" s="19"/>
      <c r="M94" s="73"/>
      <c r="N94" s="73"/>
      <c r="O94" s="58"/>
      <c r="P94" s="58" t="s">
        <v>98</v>
      </c>
      <c r="Q94" s="45"/>
    </row>
    <row r="95" spans="1:17" s="46" customFormat="1" ht="33.6" customHeight="1">
      <c r="A95" s="17">
        <v>22</v>
      </c>
      <c r="B95" s="19" t="s">
        <v>26</v>
      </c>
      <c r="C95" s="24" t="s">
        <v>87</v>
      </c>
      <c r="D95" s="17" t="s">
        <v>51</v>
      </c>
      <c r="E95" s="24" t="s">
        <v>88</v>
      </c>
      <c r="F95" s="24" t="s">
        <v>89</v>
      </c>
      <c r="G95" s="24" t="s">
        <v>90</v>
      </c>
      <c r="H95" s="72" t="s">
        <v>91</v>
      </c>
      <c r="I95" s="62">
        <v>38733725207</v>
      </c>
      <c r="J95" s="72" t="s">
        <v>92</v>
      </c>
      <c r="K95" s="24" t="s">
        <v>93</v>
      </c>
      <c r="L95" s="24" t="s">
        <v>94</v>
      </c>
      <c r="M95" s="24" t="s">
        <v>95</v>
      </c>
      <c r="N95" s="24" t="s">
        <v>95</v>
      </c>
      <c r="O95" s="24" t="s">
        <v>95</v>
      </c>
      <c r="P95" s="38" t="s">
        <v>96</v>
      </c>
      <c r="Q95" s="45"/>
    </row>
    <row r="96" spans="1:17" s="53" customFormat="1" ht="33.6" customHeight="1">
      <c r="A96" s="17">
        <v>2</v>
      </c>
      <c r="B96" s="19" t="s">
        <v>4</v>
      </c>
      <c r="C96" s="19" t="s">
        <v>99</v>
      </c>
      <c r="D96" s="17" t="s">
        <v>51</v>
      </c>
      <c r="E96" s="19" t="s">
        <v>100</v>
      </c>
      <c r="F96" s="19" t="s">
        <v>101</v>
      </c>
      <c r="G96" s="19" t="s">
        <v>102</v>
      </c>
      <c r="H96" s="73" t="s">
        <v>103</v>
      </c>
      <c r="I96" s="17" t="s">
        <v>104</v>
      </c>
      <c r="J96" s="74" t="s">
        <v>105</v>
      </c>
      <c r="K96" s="19" t="s">
        <v>106</v>
      </c>
      <c r="L96" s="19" t="s">
        <v>207</v>
      </c>
      <c r="M96" s="19" t="s">
        <v>108</v>
      </c>
      <c r="N96" s="19"/>
      <c r="O96" s="19"/>
      <c r="P96" s="38" t="s">
        <v>96</v>
      </c>
      <c r="Q96" s="52"/>
    </row>
    <row r="97" spans="1:17" s="53" customFormat="1" ht="33.6" customHeight="1">
      <c r="A97" s="17">
        <v>13</v>
      </c>
      <c r="B97" s="17" t="s">
        <v>11</v>
      </c>
      <c r="C97" s="17" t="s">
        <v>109</v>
      </c>
      <c r="D97" s="17" t="s">
        <v>51</v>
      </c>
      <c r="E97" s="17" t="s">
        <v>110</v>
      </c>
      <c r="F97" s="17" t="s">
        <v>111</v>
      </c>
      <c r="G97" s="17" t="s">
        <v>112</v>
      </c>
      <c r="H97" s="75" t="s">
        <v>113</v>
      </c>
      <c r="I97" s="17">
        <v>38733723640</v>
      </c>
      <c r="J97" s="75" t="s">
        <v>114</v>
      </c>
      <c r="K97" s="17" t="s">
        <v>115</v>
      </c>
      <c r="L97" s="17"/>
      <c r="M97" s="75" t="s">
        <v>116</v>
      </c>
      <c r="N97" s="75" t="s">
        <v>116</v>
      </c>
      <c r="O97" s="17"/>
      <c r="P97" s="38" t="s">
        <v>96</v>
      </c>
      <c r="Q97" s="52"/>
    </row>
    <row r="98" spans="1:17" s="53" customFormat="1" ht="33.6" customHeight="1">
      <c r="A98" s="17">
        <v>25</v>
      </c>
      <c r="B98" s="19" t="s">
        <v>28</v>
      </c>
      <c r="C98" s="19" t="s">
        <v>117</v>
      </c>
      <c r="D98" s="17" t="s">
        <v>51</v>
      </c>
      <c r="E98" s="19" t="s">
        <v>110</v>
      </c>
      <c r="F98" s="19" t="s">
        <v>118</v>
      </c>
      <c r="G98" s="19" t="s">
        <v>119</v>
      </c>
      <c r="H98" s="73" t="s">
        <v>120</v>
      </c>
      <c r="I98" s="19">
        <v>38733209044</v>
      </c>
      <c r="J98" s="19" t="s">
        <v>121</v>
      </c>
      <c r="K98" s="19" t="s">
        <v>122</v>
      </c>
      <c r="L98" s="19"/>
      <c r="M98" s="19" t="s">
        <v>123</v>
      </c>
      <c r="N98" s="19"/>
      <c r="O98" s="19"/>
      <c r="P98" s="38" t="s">
        <v>96</v>
      </c>
      <c r="Q98" s="52"/>
    </row>
    <row r="99" spans="1:17" s="53" customFormat="1" ht="33.6" customHeight="1">
      <c r="A99" s="17">
        <v>4</v>
      </c>
      <c r="B99" s="22" t="s">
        <v>5</v>
      </c>
      <c r="C99" s="22" t="s">
        <v>124</v>
      </c>
      <c r="D99" s="17" t="s">
        <v>51</v>
      </c>
      <c r="E99" s="22" t="s">
        <v>110</v>
      </c>
      <c r="F99" s="22" t="s">
        <v>125</v>
      </c>
      <c r="G99" s="22" t="s">
        <v>126</v>
      </c>
      <c r="H99" s="75" t="s">
        <v>127</v>
      </c>
      <c r="I99" s="19">
        <v>38733492125</v>
      </c>
      <c r="J99" s="76" t="s">
        <v>128</v>
      </c>
      <c r="K99" s="22" t="s">
        <v>129</v>
      </c>
      <c r="L99" s="22" t="s">
        <v>130</v>
      </c>
      <c r="M99" s="22" t="s">
        <v>131</v>
      </c>
      <c r="N99" s="76" t="s">
        <v>132</v>
      </c>
      <c r="O99" s="22" t="s">
        <v>133</v>
      </c>
      <c r="P99" s="38" t="s">
        <v>96</v>
      </c>
      <c r="Q99" s="52"/>
    </row>
    <row r="100" spans="1:17" s="53" customFormat="1" ht="33.6" customHeight="1">
      <c r="A100" s="17">
        <v>7</v>
      </c>
      <c r="B100" s="19" t="s">
        <v>8</v>
      </c>
      <c r="C100" s="24" t="s">
        <v>134</v>
      </c>
      <c r="D100" s="17" t="s">
        <v>51</v>
      </c>
      <c r="E100" s="24" t="s">
        <v>88</v>
      </c>
      <c r="F100" s="24" t="s">
        <v>135</v>
      </c>
      <c r="G100" s="24" t="s">
        <v>90</v>
      </c>
      <c r="H100" s="72" t="s">
        <v>91</v>
      </c>
      <c r="I100" s="62">
        <v>38733725207</v>
      </c>
      <c r="J100" s="72" t="s">
        <v>92</v>
      </c>
      <c r="K100" s="24" t="s">
        <v>136</v>
      </c>
      <c r="L100" s="24" t="s">
        <v>137</v>
      </c>
      <c r="M100" s="24" t="s">
        <v>95</v>
      </c>
      <c r="N100" s="24" t="s">
        <v>95</v>
      </c>
      <c r="O100" s="24" t="s">
        <v>95</v>
      </c>
      <c r="P100" s="38" t="s">
        <v>96</v>
      </c>
      <c r="Q100" s="52"/>
    </row>
    <row r="101" spans="1:17" s="55" customFormat="1" ht="33.6" customHeight="1">
      <c r="A101" s="17">
        <v>8</v>
      </c>
      <c r="B101" s="19" t="s">
        <v>9</v>
      </c>
      <c r="C101" s="24" t="s">
        <v>138</v>
      </c>
      <c r="D101" s="17" t="s">
        <v>51</v>
      </c>
      <c r="E101" s="24" t="s">
        <v>88</v>
      </c>
      <c r="F101" s="24" t="s">
        <v>89</v>
      </c>
      <c r="G101" s="24" t="s">
        <v>90</v>
      </c>
      <c r="H101" s="72" t="s">
        <v>91</v>
      </c>
      <c r="I101" s="62">
        <v>38733725207</v>
      </c>
      <c r="J101" s="72" t="s">
        <v>92</v>
      </c>
      <c r="K101" s="24" t="s">
        <v>139</v>
      </c>
      <c r="L101" s="24" t="s">
        <v>140</v>
      </c>
      <c r="M101" s="24" t="s">
        <v>95</v>
      </c>
      <c r="N101" s="24" t="s">
        <v>95</v>
      </c>
      <c r="O101" s="24" t="s">
        <v>95</v>
      </c>
      <c r="P101" s="38" t="s">
        <v>96</v>
      </c>
      <c r="Q101" s="54"/>
    </row>
    <row r="102" spans="1:17" s="55" customFormat="1" ht="33.6" customHeight="1">
      <c r="A102" s="17">
        <v>9</v>
      </c>
      <c r="B102" s="19" t="s">
        <v>10</v>
      </c>
      <c r="C102" s="24" t="s">
        <v>141</v>
      </c>
      <c r="D102" s="17" t="s">
        <v>51</v>
      </c>
      <c r="E102" s="24" t="s">
        <v>88</v>
      </c>
      <c r="F102" s="24" t="s">
        <v>89</v>
      </c>
      <c r="G102" s="24" t="s">
        <v>90</v>
      </c>
      <c r="H102" s="72" t="s">
        <v>91</v>
      </c>
      <c r="I102" s="62">
        <v>38733725207</v>
      </c>
      <c r="J102" s="72" t="s">
        <v>92</v>
      </c>
      <c r="K102" s="25" t="s">
        <v>142</v>
      </c>
      <c r="L102" s="24" t="s">
        <v>143</v>
      </c>
      <c r="M102" s="24" t="s">
        <v>95</v>
      </c>
      <c r="N102" s="24" t="s">
        <v>95</v>
      </c>
      <c r="O102" s="24" t="s">
        <v>95</v>
      </c>
      <c r="P102" s="38" t="s">
        <v>96</v>
      </c>
      <c r="Q102" s="54"/>
    </row>
    <row r="103" spans="1:17" s="55" customFormat="1" ht="33.6" customHeight="1">
      <c r="A103" s="17">
        <v>15</v>
      </c>
      <c r="B103" s="17" t="s">
        <v>17</v>
      </c>
      <c r="C103" s="17" t="s">
        <v>144</v>
      </c>
      <c r="D103" s="17" t="s">
        <v>51</v>
      </c>
      <c r="E103" s="17" t="s">
        <v>110</v>
      </c>
      <c r="F103" s="17" t="s">
        <v>111</v>
      </c>
      <c r="G103" s="17" t="s">
        <v>112</v>
      </c>
      <c r="H103" s="75" t="s">
        <v>113</v>
      </c>
      <c r="I103" s="17">
        <v>38733723635</v>
      </c>
      <c r="J103" s="75" t="s">
        <v>145</v>
      </c>
      <c r="K103" s="17" t="s">
        <v>146</v>
      </c>
      <c r="L103" s="17" t="s">
        <v>147</v>
      </c>
      <c r="M103" s="75" t="s">
        <v>148</v>
      </c>
      <c r="N103" s="75" t="s">
        <v>148</v>
      </c>
      <c r="O103" s="17"/>
      <c r="P103" s="38" t="s">
        <v>96</v>
      </c>
      <c r="Q103" s="54"/>
    </row>
    <row r="104" spans="1:17" s="55" customFormat="1" ht="33.6" customHeight="1">
      <c r="A104" s="17">
        <v>19</v>
      </c>
      <c r="B104" s="17" t="s">
        <v>20</v>
      </c>
      <c r="C104" s="17" t="s">
        <v>149</v>
      </c>
      <c r="D104" s="17" t="s">
        <v>51</v>
      </c>
      <c r="E104" s="17" t="s">
        <v>110</v>
      </c>
      <c r="F104" s="17" t="s">
        <v>111</v>
      </c>
      <c r="G104" s="17" t="s">
        <v>112</v>
      </c>
      <c r="H104" s="75" t="s">
        <v>113</v>
      </c>
      <c r="I104" s="17">
        <v>38733723635</v>
      </c>
      <c r="J104" s="75" t="s">
        <v>145</v>
      </c>
      <c r="K104" s="17" t="s">
        <v>146</v>
      </c>
      <c r="L104" s="17" t="s">
        <v>150</v>
      </c>
      <c r="M104" s="75" t="s">
        <v>151</v>
      </c>
      <c r="N104" s="75" t="s">
        <v>151</v>
      </c>
      <c r="O104" s="17"/>
      <c r="P104" s="38" t="s">
        <v>96</v>
      </c>
      <c r="Q104" s="54"/>
    </row>
    <row r="105" spans="1:17" s="55" customFormat="1" ht="33.6" customHeight="1">
      <c r="A105" s="17">
        <v>20</v>
      </c>
      <c r="B105" s="17" t="s">
        <v>21</v>
      </c>
      <c r="C105" s="17" t="s">
        <v>152</v>
      </c>
      <c r="D105" s="17" t="s">
        <v>51</v>
      </c>
      <c r="E105" s="17" t="s">
        <v>110</v>
      </c>
      <c r="F105" s="17" t="s">
        <v>111</v>
      </c>
      <c r="G105" s="17" t="s">
        <v>112</v>
      </c>
      <c r="H105" s="75" t="s">
        <v>113</v>
      </c>
      <c r="I105" s="17">
        <v>38733723635</v>
      </c>
      <c r="J105" s="75" t="s">
        <v>145</v>
      </c>
      <c r="K105" s="17" t="s">
        <v>146</v>
      </c>
      <c r="L105" s="17" t="s">
        <v>153</v>
      </c>
      <c r="M105" s="75" t="s">
        <v>154</v>
      </c>
      <c r="N105" s="75" t="s">
        <v>154</v>
      </c>
      <c r="O105" s="17"/>
      <c r="P105" s="38" t="s">
        <v>96</v>
      </c>
      <c r="Q105" s="54"/>
    </row>
    <row r="106" spans="1:17" s="46" customFormat="1" ht="33.6" customHeight="1">
      <c r="A106" s="17">
        <v>21</v>
      </c>
      <c r="B106" s="17" t="s">
        <v>25</v>
      </c>
      <c r="C106" s="17" t="s">
        <v>25</v>
      </c>
      <c r="D106" s="17" t="s">
        <v>51</v>
      </c>
      <c r="E106" s="17" t="s">
        <v>110</v>
      </c>
      <c r="F106" s="17" t="s">
        <v>111</v>
      </c>
      <c r="G106" s="17" t="s">
        <v>112</v>
      </c>
      <c r="H106" s="75" t="s">
        <v>113</v>
      </c>
      <c r="I106" s="17">
        <v>38733723635</v>
      </c>
      <c r="J106" s="75" t="s">
        <v>145</v>
      </c>
      <c r="K106" s="17" t="s">
        <v>155</v>
      </c>
      <c r="L106" s="17" t="s">
        <v>156</v>
      </c>
      <c r="M106" s="75" t="s">
        <v>157</v>
      </c>
      <c r="N106" s="75" t="s">
        <v>158</v>
      </c>
      <c r="O106" s="17"/>
      <c r="P106" s="38" t="s">
        <v>96</v>
      </c>
      <c r="Q106" s="45"/>
    </row>
    <row r="107" spans="1:17" s="46" customFormat="1" ht="33.6" customHeight="1">
      <c r="A107" s="17">
        <v>33</v>
      </c>
      <c r="B107" s="19" t="s">
        <v>30</v>
      </c>
      <c r="C107" s="19" t="s">
        <v>159</v>
      </c>
      <c r="D107" s="17" t="s">
        <v>51</v>
      </c>
      <c r="E107" s="19" t="s">
        <v>88</v>
      </c>
      <c r="F107" s="19"/>
      <c r="G107" s="19"/>
      <c r="H107" s="73"/>
      <c r="I107" s="19"/>
      <c r="J107" s="73"/>
      <c r="K107" s="19" t="s">
        <v>160</v>
      </c>
      <c r="L107" s="19"/>
      <c r="M107" s="73"/>
      <c r="N107" s="73"/>
      <c r="O107" s="58"/>
      <c r="P107" s="58" t="s">
        <v>98</v>
      </c>
      <c r="Q107" s="45"/>
    </row>
    <row r="108" spans="1:17" s="46" customFormat="1" ht="33.6" customHeight="1">
      <c r="A108" s="17">
        <v>49</v>
      </c>
      <c r="B108" s="19" t="s">
        <v>29</v>
      </c>
      <c r="C108" s="19" t="s">
        <v>161</v>
      </c>
      <c r="D108" s="17" t="s">
        <v>51</v>
      </c>
      <c r="E108" s="19" t="s">
        <v>88</v>
      </c>
      <c r="F108" s="19" t="s">
        <v>97</v>
      </c>
      <c r="G108" s="19"/>
      <c r="H108" s="73"/>
      <c r="I108" s="19"/>
      <c r="J108" s="73"/>
      <c r="K108" s="19" t="s">
        <v>162</v>
      </c>
      <c r="L108" s="19"/>
      <c r="M108" s="73"/>
      <c r="N108" s="73"/>
      <c r="O108" s="58"/>
      <c r="P108" s="58" t="s">
        <v>98</v>
      </c>
      <c r="Q108" s="45"/>
    </row>
    <row r="109" spans="1:17" s="46" customFormat="1" ht="33.6" customHeight="1">
      <c r="A109" s="17">
        <v>50</v>
      </c>
      <c r="B109" s="19" t="s">
        <v>31</v>
      </c>
      <c r="C109" s="19" t="s">
        <v>163</v>
      </c>
      <c r="D109" s="17" t="s">
        <v>51</v>
      </c>
      <c r="E109" s="19" t="s">
        <v>110</v>
      </c>
      <c r="F109" s="19" t="s">
        <v>164</v>
      </c>
      <c r="G109" s="19"/>
      <c r="H109" s="73"/>
      <c r="I109" s="19"/>
      <c r="J109" s="73"/>
      <c r="K109" s="19"/>
      <c r="L109" s="19"/>
      <c r="M109" s="73"/>
      <c r="N109" s="73"/>
      <c r="O109" s="58"/>
      <c r="P109" s="58" t="s">
        <v>98</v>
      </c>
      <c r="Q109" s="45"/>
    </row>
    <row r="110" spans="1:17" s="46" customFormat="1" ht="33.6" customHeight="1">
      <c r="A110" s="17">
        <v>53</v>
      </c>
      <c r="B110" s="19" t="s">
        <v>19</v>
      </c>
      <c r="C110" s="19" t="s">
        <v>165</v>
      </c>
      <c r="D110" s="17" t="s">
        <v>51</v>
      </c>
      <c r="E110" s="19" t="s">
        <v>110</v>
      </c>
      <c r="F110" s="58"/>
      <c r="G110" s="58"/>
      <c r="H110" s="58"/>
      <c r="I110" s="58"/>
      <c r="J110" s="58"/>
      <c r="K110" s="19" t="s">
        <v>166</v>
      </c>
      <c r="L110" s="58"/>
      <c r="M110" s="58"/>
      <c r="N110" s="58"/>
      <c r="O110" s="58"/>
      <c r="P110" s="58" t="s">
        <v>167</v>
      </c>
      <c r="Q110" s="45"/>
    </row>
    <row r="111" spans="1:17" s="46" customFormat="1" ht="33.6" customHeight="1">
      <c r="A111" s="17">
        <v>31</v>
      </c>
      <c r="B111" s="19" t="s">
        <v>3</v>
      </c>
      <c r="C111" s="19" t="s">
        <v>168</v>
      </c>
      <c r="D111" s="17" t="s">
        <v>51</v>
      </c>
      <c r="E111" s="19" t="s">
        <v>88</v>
      </c>
      <c r="F111" s="19" t="s">
        <v>169</v>
      </c>
      <c r="G111" s="19" t="s">
        <v>170</v>
      </c>
      <c r="H111" s="73"/>
      <c r="I111" s="19">
        <v>38733285261</v>
      </c>
      <c r="J111" s="73"/>
      <c r="K111" s="19"/>
      <c r="L111" s="19" t="s">
        <v>171</v>
      </c>
      <c r="M111" s="73"/>
      <c r="N111" s="73"/>
      <c r="O111" s="58"/>
      <c r="P111" s="58" t="s">
        <v>98</v>
      </c>
      <c r="Q111" s="45"/>
    </row>
    <row r="112" spans="1:17" s="46" customFormat="1" ht="33.6" customHeight="1">
      <c r="A112" s="17">
        <v>34</v>
      </c>
      <c r="B112" s="19" t="s">
        <v>6</v>
      </c>
      <c r="C112" s="19" t="s">
        <v>172</v>
      </c>
      <c r="D112" s="17" t="s">
        <v>51</v>
      </c>
      <c r="E112" s="19" t="s">
        <v>110</v>
      </c>
      <c r="F112" s="19" t="s">
        <v>173</v>
      </c>
      <c r="G112" s="19" t="s">
        <v>174</v>
      </c>
      <c r="H112" s="73" t="s">
        <v>175</v>
      </c>
      <c r="I112" s="64">
        <v>387733637384</v>
      </c>
      <c r="J112" s="73" t="s">
        <v>176</v>
      </c>
      <c r="K112" s="19" t="s">
        <v>177</v>
      </c>
      <c r="L112" s="19" t="s">
        <v>178</v>
      </c>
      <c r="M112" s="19" t="s">
        <v>179</v>
      </c>
      <c r="N112" s="77" t="s">
        <v>180</v>
      </c>
      <c r="O112" s="58"/>
      <c r="P112" s="58" t="s">
        <v>98</v>
      </c>
      <c r="Q112" s="45"/>
    </row>
    <row r="113" spans="1:17" s="46" customFormat="1" ht="33.6" customHeight="1">
      <c r="A113" s="17">
        <v>36</v>
      </c>
      <c r="B113" s="19" t="s">
        <v>7</v>
      </c>
      <c r="C113" s="19" t="s">
        <v>181</v>
      </c>
      <c r="D113" s="17" t="s">
        <v>51</v>
      </c>
      <c r="E113" s="19" t="s">
        <v>88</v>
      </c>
      <c r="F113" s="19" t="s">
        <v>173</v>
      </c>
      <c r="G113" s="19" t="s">
        <v>174</v>
      </c>
      <c r="H113" s="77" t="s">
        <v>180</v>
      </c>
      <c r="I113" s="64">
        <v>387733637384</v>
      </c>
      <c r="J113" s="73" t="s">
        <v>176</v>
      </c>
      <c r="K113" s="19" t="s">
        <v>182</v>
      </c>
      <c r="L113" s="77" t="s">
        <v>180</v>
      </c>
      <c r="M113" s="77" t="s">
        <v>180</v>
      </c>
      <c r="N113" s="77" t="s">
        <v>180</v>
      </c>
      <c r="O113" s="58"/>
      <c r="P113" s="58" t="s">
        <v>98</v>
      </c>
      <c r="Q113" s="45"/>
    </row>
    <row r="114" spans="1:17" s="46" customFormat="1" ht="33.6" customHeight="1">
      <c r="A114" s="17">
        <v>39</v>
      </c>
      <c r="B114" s="19" t="s">
        <v>12</v>
      </c>
      <c r="C114" s="19" t="s">
        <v>183</v>
      </c>
      <c r="D114" s="17" t="s">
        <v>51</v>
      </c>
      <c r="E114" s="19" t="s">
        <v>88</v>
      </c>
      <c r="F114" s="19" t="s">
        <v>184</v>
      </c>
      <c r="G114" s="19"/>
      <c r="H114" s="73"/>
      <c r="I114" s="19"/>
      <c r="J114" s="73"/>
      <c r="K114" s="19"/>
      <c r="L114" s="19"/>
      <c r="M114" s="73"/>
      <c r="N114" s="73"/>
      <c r="O114" s="58"/>
      <c r="P114" s="58" t="s">
        <v>98</v>
      </c>
      <c r="Q114" s="45"/>
    </row>
    <row r="115" spans="1:17" s="46" customFormat="1" ht="33.6" customHeight="1">
      <c r="A115" s="17">
        <v>40</v>
      </c>
      <c r="B115" s="19" t="s">
        <v>13</v>
      </c>
      <c r="C115" s="19" t="s">
        <v>185</v>
      </c>
      <c r="D115" s="17" t="s">
        <v>51</v>
      </c>
      <c r="E115" s="19" t="s">
        <v>186</v>
      </c>
      <c r="F115" s="19" t="s">
        <v>187</v>
      </c>
      <c r="G115" s="19" t="s">
        <v>188</v>
      </c>
      <c r="H115" s="73" t="s">
        <v>189</v>
      </c>
      <c r="I115" s="19">
        <v>38733653093</v>
      </c>
      <c r="J115" s="73"/>
      <c r="K115" s="19"/>
      <c r="L115" s="19"/>
      <c r="M115" s="19"/>
      <c r="N115" s="73"/>
      <c r="O115" s="58"/>
      <c r="P115" s="58" t="s">
        <v>98</v>
      </c>
      <c r="Q115" s="45"/>
    </row>
    <row r="116" spans="1:17" s="46" customFormat="1" ht="51.6" customHeight="1">
      <c r="A116" s="17">
        <v>41</v>
      </c>
      <c r="B116" s="19" t="s">
        <v>14</v>
      </c>
      <c r="C116" s="19" t="s">
        <v>190</v>
      </c>
      <c r="D116" s="17" t="s">
        <v>51</v>
      </c>
      <c r="E116" s="19" t="s">
        <v>191</v>
      </c>
      <c r="F116" s="19" t="s">
        <v>192</v>
      </c>
      <c r="G116" s="19"/>
      <c r="H116" s="73"/>
      <c r="I116" s="19"/>
      <c r="J116" s="73"/>
      <c r="K116" s="19" t="s">
        <v>193</v>
      </c>
      <c r="L116" s="19"/>
      <c r="M116" s="19" t="s">
        <v>194</v>
      </c>
      <c r="N116" s="73"/>
      <c r="O116" s="58"/>
      <c r="P116" s="58" t="s">
        <v>98</v>
      </c>
      <c r="Q116" s="45"/>
    </row>
    <row r="117" spans="1:17" s="46" customFormat="1" ht="51.6" customHeight="1">
      <c r="A117" s="17">
        <v>42</v>
      </c>
      <c r="B117" s="19" t="s">
        <v>15</v>
      </c>
      <c r="C117" s="19"/>
      <c r="D117" s="17" t="s">
        <v>51</v>
      </c>
      <c r="E117" s="19" t="s">
        <v>88</v>
      </c>
      <c r="F117" s="19" t="s">
        <v>97</v>
      </c>
      <c r="G117" s="19"/>
      <c r="H117" s="73"/>
      <c r="I117" s="19"/>
      <c r="J117" s="73"/>
      <c r="K117" s="19"/>
      <c r="L117" s="19"/>
      <c r="M117" s="73"/>
      <c r="N117" s="73"/>
      <c r="O117" s="58"/>
      <c r="P117" s="58" t="s">
        <v>98</v>
      </c>
      <c r="Q117" s="45"/>
    </row>
    <row r="118" spans="1:17" s="46" customFormat="1" ht="51.6" customHeight="1">
      <c r="A118" s="17">
        <v>52</v>
      </c>
      <c r="B118" s="19" t="s">
        <v>16</v>
      </c>
      <c r="C118" s="19" t="s">
        <v>195</v>
      </c>
      <c r="D118" s="17" t="s">
        <v>51</v>
      </c>
      <c r="E118" s="19" t="s">
        <v>110</v>
      </c>
      <c r="F118" s="58"/>
      <c r="G118" s="58"/>
      <c r="H118" s="78" t="s">
        <v>196</v>
      </c>
      <c r="I118" s="58"/>
      <c r="J118" s="58"/>
      <c r="K118" s="19" t="s">
        <v>197</v>
      </c>
      <c r="L118" s="58"/>
      <c r="M118" s="58"/>
      <c r="N118" s="58"/>
      <c r="O118" s="58"/>
      <c r="P118" s="58" t="s">
        <v>167</v>
      </c>
      <c r="Q118" s="45"/>
    </row>
    <row r="119" spans="1:17" s="46" customFormat="1" ht="51.6" customHeight="1">
      <c r="A119" s="17">
        <v>58</v>
      </c>
      <c r="B119" s="19" t="s">
        <v>22</v>
      </c>
      <c r="C119" s="19" t="s">
        <v>198</v>
      </c>
      <c r="D119" s="17" t="s">
        <v>51</v>
      </c>
      <c r="E119" s="58" t="s">
        <v>199</v>
      </c>
      <c r="F119" s="58"/>
      <c r="G119" s="58"/>
      <c r="H119" s="19"/>
      <c r="I119" s="58"/>
      <c r="J119" s="58"/>
      <c r="K119" s="19" t="s">
        <v>200</v>
      </c>
      <c r="L119" s="58"/>
      <c r="M119" s="58"/>
      <c r="N119" s="58"/>
      <c r="O119" s="58"/>
      <c r="P119" s="58" t="s">
        <v>167</v>
      </c>
      <c r="Q119" s="45"/>
    </row>
    <row r="120" spans="1:17" s="46" customFormat="1" ht="51.6" customHeight="1">
      <c r="A120" s="17">
        <v>59</v>
      </c>
      <c r="B120" s="20" t="s">
        <v>23</v>
      </c>
      <c r="C120" s="20" t="s">
        <v>201</v>
      </c>
      <c r="D120" s="17" t="s">
        <v>51</v>
      </c>
      <c r="E120" s="58" t="s">
        <v>110</v>
      </c>
      <c r="F120" s="58"/>
      <c r="G120" s="58"/>
      <c r="H120" s="19"/>
      <c r="I120" s="58"/>
      <c r="J120" s="58"/>
      <c r="K120" s="19" t="s">
        <v>202</v>
      </c>
      <c r="L120" s="58"/>
      <c r="M120" s="58"/>
      <c r="N120" s="58"/>
      <c r="O120" s="58"/>
      <c r="P120" s="58" t="s">
        <v>167</v>
      </c>
      <c r="Q120" s="45"/>
    </row>
    <row r="121" spans="1:17" s="46" customFormat="1" ht="33.6" customHeight="1">
      <c r="A121" s="17">
        <v>60</v>
      </c>
      <c r="B121" s="19" t="s">
        <v>24</v>
      </c>
      <c r="C121" s="19"/>
      <c r="D121" s="17" t="s">
        <v>51</v>
      </c>
      <c r="E121" s="58" t="s">
        <v>88</v>
      </c>
      <c r="F121" s="58"/>
      <c r="G121" s="58"/>
      <c r="H121" s="73"/>
      <c r="I121" s="58"/>
      <c r="J121" s="58"/>
      <c r="K121" s="19"/>
      <c r="L121" s="58"/>
      <c r="M121" s="58"/>
      <c r="N121" s="58"/>
      <c r="O121" s="58"/>
      <c r="P121" s="58" t="s">
        <v>167</v>
      </c>
      <c r="Q121" s="45"/>
    </row>
    <row r="122" spans="1:17" s="46" customFormat="1" ht="33.6" customHeight="1">
      <c r="A122" s="17">
        <v>11</v>
      </c>
      <c r="B122" s="19" t="s">
        <v>34</v>
      </c>
      <c r="C122" s="24" t="s">
        <v>208</v>
      </c>
      <c r="D122" s="19" t="s">
        <v>51</v>
      </c>
      <c r="E122" s="24" t="s">
        <v>88</v>
      </c>
      <c r="F122" s="24" t="s">
        <v>89</v>
      </c>
      <c r="G122" s="24" t="s">
        <v>90</v>
      </c>
      <c r="H122" s="72" t="s">
        <v>91</v>
      </c>
      <c r="I122" s="62">
        <v>38733725207</v>
      </c>
      <c r="J122" s="72" t="s">
        <v>92</v>
      </c>
      <c r="K122" s="24" t="s">
        <v>209</v>
      </c>
      <c r="L122" s="24" t="s">
        <v>210</v>
      </c>
      <c r="M122" s="24" t="s">
        <v>95</v>
      </c>
      <c r="N122" s="24" t="s">
        <v>95</v>
      </c>
      <c r="O122" s="24" t="s">
        <v>95</v>
      </c>
      <c r="P122" s="38" t="s">
        <v>96</v>
      </c>
      <c r="Q122" s="45"/>
    </row>
    <row r="123" spans="1:17" s="46" customFormat="1" ht="33.6" customHeight="1">
      <c r="A123" s="17">
        <v>12</v>
      </c>
      <c r="B123" s="19" t="s">
        <v>35</v>
      </c>
      <c r="C123" s="19" t="s">
        <v>211</v>
      </c>
      <c r="D123" s="19" t="s">
        <v>51</v>
      </c>
      <c r="E123" s="17" t="s">
        <v>88</v>
      </c>
      <c r="F123" s="19" t="s">
        <v>212</v>
      </c>
      <c r="G123" s="19" t="s">
        <v>213</v>
      </c>
      <c r="H123" s="73" t="s">
        <v>214</v>
      </c>
      <c r="I123" s="19">
        <v>38733291190</v>
      </c>
      <c r="J123" s="19" t="s">
        <v>215</v>
      </c>
      <c r="K123" s="19" t="s">
        <v>216</v>
      </c>
      <c r="L123" s="19" t="s">
        <v>217</v>
      </c>
      <c r="M123" s="19" t="s">
        <v>218</v>
      </c>
      <c r="N123" s="19" t="s">
        <v>219</v>
      </c>
      <c r="O123" s="19" t="s">
        <v>220</v>
      </c>
      <c r="P123" s="38" t="s">
        <v>96</v>
      </c>
      <c r="Q123" s="45"/>
    </row>
    <row r="124" spans="1:17" s="46" customFormat="1" ht="33.6" customHeight="1">
      <c r="A124" s="17">
        <v>29</v>
      </c>
      <c r="B124" s="27" t="s">
        <v>38</v>
      </c>
      <c r="C124" s="19" t="s">
        <v>221</v>
      </c>
      <c r="D124" s="19" t="s">
        <v>51</v>
      </c>
      <c r="E124" s="27" t="s">
        <v>222</v>
      </c>
      <c r="F124" s="19" t="s">
        <v>173</v>
      </c>
      <c r="G124" s="19" t="s">
        <v>223</v>
      </c>
      <c r="H124" s="73" t="s">
        <v>224</v>
      </c>
      <c r="I124" s="19">
        <v>38733775723</v>
      </c>
      <c r="J124" s="73" t="s">
        <v>225</v>
      </c>
      <c r="K124" s="19" t="s">
        <v>226</v>
      </c>
      <c r="L124" s="27" t="s">
        <v>227</v>
      </c>
      <c r="M124" s="19" t="s">
        <v>228</v>
      </c>
      <c r="N124" s="73" t="s">
        <v>229</v>
      </c>
      <c r="O124" s="19"/>
      <c r="P124" s="38" t="s">
        <v>96</v>
      </c>
      <c r="Q124" s="45"/>
    </row>
    <row r="125" spans="1:17" s="46" customFormat="1" ht="33.6" customHeight="1">
      <c r="A125" s="17">
        <v>47</v>
      </c>
      <c r="B125" s="19" t="s">
        <v>36</v>
      </c>
      <c r="C125" s="19" t="s">
        <v>232</v>
      </c>
      <c r="D125" s="19" t="s">
        <v>51</v>
      </c>
      <c r="E125" s="19" t="s">
        <v>88</v>
      </c>
      <c r="F125" s="19" t="s">
        <v>233</v>
      </c>
      <c r="G125" s="19" t="s">
        <v>234</v>
      </c>
      <c r="H125" s="73" t="s">
        <v>235</v>
      </c>
      <c r="I125" s="19">
        <v>38733214249</v>
      </c>
      <c r="J125" s="73"/>
      <c r="K125" s="19"/>
      <c r="L125" s="19"/>
      <c r="M125" s="73" t="s">
        <v>235</v>
      </c>
      <c r="N125" s="73" t="s">
        <v>235</v>
      </c>
      <c r="O125" s="58"/>
      <c r="P125" s="58" t="s">
        <v>98</v>
      </c>
      <c r="Q125" s="45"/>
    </row>
    <row r="126" spans="1:17" s="46" customFormat="1" ht="33.6" customHeight="1">
      <c r="A126" s="17">
        <v>14</v>
      </c>
      <c r="B126" s="17" t="s">
        <v>53</v>
      </c>
      <c r="C126" s="17" t="s">
        <v>281</v>
      </c>
      <c r="D126" s="17" t="s">
        <v>51</v>
      </c>
      <c r="E126" s="17" t="s">
        <v>110</v>
      </c>
      <c r="F126" s="17" t="s">
        <v>111</v>
      </c>
      <c r="G126" s="17" t="s">
        <v>112</v>
      </c>
      <c r="H126" s="75" t="s">
        <v>113</v>
      </c>
      <c r="I126" s="17">
        <v>38733723635</v>
      </c>
      <c r="J126" s="75" t="s">
        <v>145</v>
      </c>
      <c r="K126" s="17" t="s">
        <v>146</v>
      </c>
      <c r="L126" s="17"/>
      <c r="M126" s="75" t="s">
        <v>282</v>
      </c>
      <c r="N126" s="75" t="s">
        <v>282</v>
      </c>
      <c r="O126" s="17"/>
      <c r="P126" s="38" t="s">
        <v>96</v>
      </c>
      <c r="Q126" s="45"/>
    </row>
    <row r="127" spans="1:17" s="46" customFormat="1" ht="33.6" customHeight="1">
      <c r="A127" s="17">
        <v>29</v>
      </c>
      <c r="B127" s="27" t="s">
        <v>38</v>
      </c>
      <c r="C127" s="19" t="s">
        <v>283</v>
      </c>
      <c r="D127" s="27" t="s">
        <v>51</v>
      </c>
      <c r="E127" s="27" t="s">
        <v>222</v>
      </c>
      <c r="F127" s="19" t="s">
        <v>284</v>
      </c>
      <c r="G127" s="17" t="s">
        <v>285</v>
      </c>
      <c r="H127" s="79" t="s">
        <v>286</v>
      </c>
      <c r="I127" s="19">
        <v>38733562472</v>
      </c>
      <c r="J127" s="73" t="s">
        <v>287</v>
      </c>
      <c r="K127" s="19" t="s">
        <v>226</v>
      </c>
      <c r="L127" s="27" t="s">
        <v>227</v>
      </c>
      <c r="M127" s="19" t="s">
        <v>288</v>
      </c>
      <c r="N127" s="73" t="s">
        <v>289</v>
      </c>
      <c r="O127" s="19"/>
      <c r="P127" s="38" t="s">
        <v>96</v>
      </c>
      <c r="Q127" s="45"/>
    </row>
    <row r="128" spans="1:17" s="46" customFormat="1" ht="33.6" customHeight="1">
      <c r="A128" s="17">
        <v>29</v>
      </c>
      <c r="B128" s="27" t="s">
        <v>38</v>
      </c>
      <c r="C128" s="19" t="s">
        <v>290</v>
      </c>
      <c r="D128" s="27" t="s">
        <v>51</v>
      </c>
      <c r="E128" s="27" t="s">
        <v>222</v>
      </c>
      <c r="F128" s="19" t="s">
        <v>212</v>
      </c>
      <c r="G128" s="19" t="s">
        <v>213</v>
      </c>
      <c r="H128" s="73" t="s">
        <v>214</v>
      </c>
      <c r="I128" s="19">
        <v>38733291190</v>
      </c>
      <c r="J128" s="19" t="s">
        <v>215</v>
      </c>
      <c r="K128" s="19" t="s">
        <v>226</v>
      </c>
      <c r="L128" s="27" t="s">
        <v>227</v>
      </c>
      <c r="M128" s="19" t="s">
        <v>291</v>
      </c>
      <c r="N128" s="73" t="s">
        <v>292</v>
      </c>
      <c r="O128" s="19"/>
      <c r="P128" s="38" t="s">
        <v>96</v>
      </c>
      <c r="Q128" s="45"/>
    </row>
    <row r="129" spans="1:17" s="46" customFormat="1" ht="33.6" customHeight="1">
      <c r="A129" s="17">
        <v>32</v>
      </c>
      <c r="B129" s="20" t="s">
        <v>52</v>
      </c>
      <c r="C129" s="20" t="s">
        <v>293</v>
      </c>
      <c r="D129" s="17" t="s">
        <v>51</v>
      </c>
      <c r="E129" s="19" t="s">
        <v>222</v>
      </c>
      <c r="F129" s="19" t="s">
        <v>294</v>
      </c>
      <c r="G129" s="19" t="s">
        <v>295</v>
      </c>
      <c r="H129" s="73" t="s">
        <v>296</v>
      </c>
      <c r="I129" s="20">
        <v>38733562128</v>
      </c>
      <c r="J129" s="73" t="s">
        <v>297</v>
      </c>
      <c r="K129" s="19" t="s">
        <v>298</v>
      </c>
      <c r="L129" s="20" t="s">
        <v>299</v>
      </c>
      <c r="M129" s="73" t="s">
        <v>300</v>
      </c>
      <c r="N129" s="73" t="s">
        <v>301</v>
      </c>
      <c r="O129" s="58"/>
      <c r="P129" s="58" t="s">
        <v>98</v>
      </c>
      <c r="Q129" s="45"/>
    </row>
    <row r="130" spans="1:17" s="46" customFormat="1" ht="33.6" customHeight="1">
      <c r="A130" s="17">
        <v>44</v>
      </c>
      <c r="B130" s="19" t="s">
        <v>55</v>
      </c>
      <c r="C130" s="19" t="s">
        <v>302</v>
      </c>
      <c r="D130" s="17" t="s">
        <v>51</v>
      </c>
      <c r="E130" s="19" t="s">
        <v>222</v>
      </c>
      <c r="F130" s="58"/>
      <c r="G130" s="58"/>
      <c r="H130" s="58"/>
      <c r="I130" s="58"/>
      <c r="J130" s="58"/>
      <c r="K130" s="58"/>
      <c r="L130" s="20" t="s">
        <v>299</v>
      </c>
      <c r="M130" s="58"/>
      <c r="N130" s="58"/>
      <c r="O130" s="58"/>
      <c r="P130" s="58" t="s">
        <v>98</v>
      </c>
      <c r="Q130" s="45"/>
    </row>
    <row r="131" spans="1:17" s="46" customFormat="1" ht="33.6" customHeight="1">
      <c r="A131" s="17">
        <v>45</v>
      </c>
      <c r="B131" s="19" t="s">
        <v>56</v>
      </c>
      <c r="C131" s="20" t="s">
        <v>303</v>
      </c>
      <c r="D131" s="17" t="s">
        <v>51</v>
      </c>
      <c r="E131" s="19" t="s">
        <v>222</v>
      </c>
      <c r="F131" s="19" t="s">
        <v>294</v>
      </c>
      <c r="G131" s="19" t="s">
        <v>304</v>
      </c>
      <c r="H131" s="73" t="s">
        <v>296</v>
      </c>
      <c r="I131" s="20">
        <v>38733562128</v>
      </c>
      <c r="J131" s="73" t="s">
        <v>297</v>
      </c>
      <c r="K131" s="19" t="s">
        <v>298</v>
      </c>
      <c r="L131" s="20" t="s">
        <v>299</v>
      </c>
      <c r="M131" s="73" t="s">
        <v>300</v>
      </c>
      <c r="N131" s="73" t="s">
        <v>301</v>
      </c>
      <c r="O131" s="58"/>
      <c r="P131" s="58" t="s">
        <v>98</v>
      </c>
      <c r="Q131" s="45"/>
    </row>
    <row r="132" spans="1:17" s="46" customFormat="1" ht="33.6" customHeight="1">
      <c r="A132" s="17">
        <v>51</v>
      </c>
      <c r="B132" s="19" t="s">
        <v>54</v>
      </c>
      <c r="C132" s="19" t="s">
        <v>305</v>
      </c>
      <c r="D132" s="19" t="s">
        <v>51</v>
      </c>
      <c r="E132" s="19" t="s">
        <v>222</v>
      </c>
      <c r="F132" s="58"/>
      <c r="G132" s="58"/>
      <c r="H132" s="73"/>
      <c r="I132" s="58"/>
      <c r="J132" s="58"/>
      <c r="K132" s="19" t="s">
        <v>306</v>
      </c>
      <c r="L132" s="58"/>
      <c r="M132" s="58"/>
      <c r="N132" s="58"/>
      <c r="O132" s="58"/>
      <c r="P132" s="58" t="s">
        <v>167</v>
      </c>
      <c r="Q132" s="45"/>
    </row>
    <row r="133" spans="1:17" s="46" customFormat="1" ht="91.5" customHeight="1">
      <c r="A133" s="17">
        <v>54</v>
      </c>
      <c r="B133" s="19" t="s">
        <v>57</v>
      </c>
      <c r="C133" s="19" t="s">
        <v>307</v>
      </c>
      <c r="D133" s="19" t="s">
        <v>51</v>
      </c>
      <c r="E133" s="19" t="s">
        <v>222</v>
      </c>
      <c r="F133" s="58"/>
      <c r="G133" s="58"/>
      <c r="H133" s="19"/>
      <c r="I133" s="58"/>
      <c r="J133" s="58"/>
      <c r="K133" s="19" t="s">
        <v>308</v>
      </c>
      <c r="L133" s="58"/>
      <c r="M133" s="58"/>
      <c r="N133" s="58"/>
      <c r="O133" s="58"/>
      <c r="P133" s="58" t="s">
        <v>167</v>
      </c>
      <c r="Q133" s="45"/>
    </row>
    <row r="134" spans="1:17" s="46" customFormat="1" ht="91.5" customHeight="1">
      <c r="A134" s="17">
        <v>56</v>
      </c>
      <c r="B134" s="19" t="s">
        <v>58</v>
      </c>
      <c r="C134" s="19" t="s">
        <v>309</v>
      </c>
      <c r="D134" s="19" t="s">
        <v>51</v>
      </c>
      <c r="E134" s="19" t="s">
        <v>222</v>
      </c>
      <c r="F134" s="58"/>
      <c r="G134" s="58"/>
      <c r="H134" s="73"/>
      <c r="I134" s="58"/>
      <c r="J134" s="58"/>
      <c r="K134" s="19" t="s">
        <v>310</v>
      </c>
      <c r="L134" s="58"/>
      <c r="M134" s="58"/>
      <c r="N134" s="58"/>
      <c r="O134" s="58"/>
      <c r="P134" s="58" t="s">
        <v>167</v>
      </c>
      <c r="Q134" s="45"/>
    </row>
    <row r="135" spans="1:17" s="46" customFormat="1" ht="157.5">
      <c r="A135" s="17">
        <v>38</v>
      </c>
      <c r="B135" s="19" t="s">
        <v>44</v>
      </c>
      <c r="C135" s="19" t="s">
        <v>270</v>
      </c>
      <c r="D135" s="19" t="s">
        <v>51</v>
      </c>
      <c r="E135" s="19" t="s">
        <v>271</v>
      </c>
      <c r="F135" s="19" t="s">
        <v>272</v>
      </c>
      <c r="G135" s="19"/>
      <c r="H135" s="73"/>
      <c r="I135" s="19"/>
      <c r="J135" s="73"/>
      <c r="K135" s="19"/>
      <c r="L135" s="19" t="s">
        <v>273</v>
      </c>
      <c r="M135" s="30" t="s">
        <v>274</v>
      </c>
      <c r="N135" s="73"/>
      <c r="O135" s="58"/>
      <c r="P135" s="58" t="s">
        <v>98</v>
      </c>
      <c r="Q135" s="45"/>
    </row>
    <row r="136" spans="1:17" s="46" customFormat="1" ht="86.45" customHeight="1">
      <c r="A136" s="17">
        <v>24</v>
      </c>
      <c r="B136" s="19" t="s">
        <v>27</v>
      </c>
      <c r="C136" s="24" t="s">
        <v>203</v>
      </c>
      <c r="D136" s="58" t="s">
        <v>51</v>
      </c>
      <c r="E136" s="24" t="s">
        <v>88</v>
      </c>
      <c r="F136" s="24" t="s">
        <v>204</v>
      </c>
      <c r="G136" s="24" t="s">
        <v>90</v>
      </c>
      <c r="H136" s="24" t="s">
        <v>91</v>
      </c>
      <c r="I136" s="62">
        <v>38733725207</v>
      </c>
      <c r="J136" s="75" t="s">
        <v>92</v>
      </c>
      <c r="K136" s="24" t="s">
        <v>205</v>
      </c>
      <c r="L136" s="24" t="s">
        <v>206</v>
      </c>
      <c r="M136" s="24" t="s">
        <v>95</v>
      </c>
      <c r="N136" s="24" t="s">
        <v>95</v>
      </c>
      <c r="O136" s="24" t="s">
        <v>95</v>
      </c>
      <c r="P136" s="38" t="s">
        <v>96</v>
      </c>
      <c r="Q136" s="45"/>
    </row>
    <row r="137" spans="1:17" s="46" customFormat="1" ht="111.6" customHeight="1">
      <c r="A137" s="17">
        <v>43</v>
      </c>
      <c r="B137" s="19" t="s">
        <v>45</v>
      </c>
      <c r="C137" s="19"/>
      <c r="D137" s="19" t="s">
        <v>51</v>
      </c>
      <c r="E137" s="19" t="s">
        <v>271</v>
      </c>
      <c r="F137" s="19"/>
      <c r="G137" s="19"/>
      <c r="H137" s="73"/>
      <c r="I137" s="19"/>
      <c r="J137" s="75"/>
      <c r="K137" s="73" t="s">
        <v>280</v>
      </c>
      <c r="L137" s="19"/>
      <c r="M137" s="73"/>
      <c r="N137" s="73"/>
      <c r="O137" s="58"/>
      <c r="P137" s="58" t="s">
        <v>98</v>
      </c>
      <c r="Q137" s="45"/>
    </row>
    <row r="138" spans="1:17" s="46" customFormat="1" ht="61.5" customHeight="1">
      <c r="A138" s="17">
        <v>22</v>
      </c>
      <c r="B138" s="19" t="s">
        <v>26</v>
      </c>
      <c r="C138" s="24" t="s">
        <v>87</v>
      </c>
      <c r="D138" s="17" t="s">
        <v>60</v>
      </c>
      <c r="E138" s="24" t="s">
        <v>88</v>
      </c>
      <c r="F138" s="24" t="s">
        <v>89</v>
      </c>
      <c r="G138" s="24" t="s">
        <v>90</v>
      </c>
      <c r="H138" s="72" t="s">
        <v>91</v>
      </c>
      <c r="I138" s="62">
        <v>38733725207</v>
      </c>
      <c r="J138" s="72" t="s">
        <v>92</v>
      </c>
      <c r="K138" s="24" t="s">
        <v>93</v>
      </c>
      <c r="L138" s="24" t="s">
        <v>94</v>
      </c>
      <c r="M138" s="24" t="s">
        <v>95</v>
      </c>
      <c r="N138" s="24" t="s">
        <v>95</v>
      </c>
      <c r="O138" s="24" t="s">
        <v>95</v>
      </c>
      <c r="P138" s="38" t="s">
        <v>96</v>
      </c>
      <c r="Q138" s="45"/>
    </row>
    <row r="139" spans="1:17" s="46" customFormat="1" ht="178.5">
      <c r="A139" s="17">
        <v>4</v>
      </c>
      <c r="B139" s="22" t="s">
        <v>5</v>
      </c>
      <c r="C139" s="22" t="s">
        <v>124</v>
      </c>
      <c r="D139" s="17" t="s">
        <v>60</v>
      </c>
      <c r="E139" s="22" t="s">
        <v>110</v>
      </c>
      <c r="F139" s="22" t="s">
        <v>125</v>
      </c>
      <c r="G139" s="22" t="s">
        <v>126</v>
      </c>
      <c r="H139" s="75" t="s">
        <v>127</v>
      </c>
      <c r="I139" s="19">
        <v>38733492125</v>
      </c>
      <c r="J139" s="72" t="s">
        <v>128</v>
      </c>
      <c r="K139" s="22" t="s">
        <v>129</v>
      </c>
      <c r="L139" s="22" t="s">
        <v>130</v>
      </c>
      <c r="M139" s="22" t="s">
        <v>131</v>
      </c>
      <c r="N139" s="76" t="s">
        <v>132</v>
      </c>
      <c r="O139" s="22" t="s">
        <v>133</v>
      </c>
      <c r="P139" s="38" t="s">
        <v>96</v>
      </c>
      <c r="Q139" s="45"/>
    </row>
    <row r="140" spans="1:17" s="46" customFormat="1" ht="345" customHeight="1">
      <c r="A140" s="17">
        <v>7</v>
      </c>
      <c r="B140" s="19" t="s">
        <v>8</v>
      </c>
      <c r="C140" s="24" t="s">
        <v>134</v>
      </c>
      <c r="D140" s="17" t="s">
        <v>60</v>
      </c>
      <c r="E140" s="24" t="s">
        <v>88</v>
      </c>
      <c r="F140" s="24" t="s">
        <v>135</v>
      </c>
      <c r="G140" s="24" t="s">
        <v>90</v>
      </c>
      <c r="H140" s="72" t="s">
        <v>91</v>
      </c>
      <c r="I140" s="62">
        <v>38733725207</v>
      </c>
      <c r="J140" s="72" t="s">
        <v>92</v>
      </c>
      <c r="K140" s="24" t="s">
        <v>136</v>
      </c>
      <c r="L140" s="24" t="s">
        <v>137</v>
      </c>
      <c r="M140" s="24" t="s">
        <v>95</v>
      </c>
      <c r="N140" s="24" t="s">
        <v>95</v>
      </c>
      <c r="O140" s="24" t="s">
        <v>95</v>
      </c>
      <c r="P140" s="38" t="s">
        <v>96</v>
      </c>
      <c r="Q140" s="45"/>
    </row>
    <row r="141" spans="1:17" s="46" customFormat="1" ht="42" customHeight="1">
      <c r="A141" s="17">
        <v>8</v>
      </c>
      <c r="B141" s="19" t="s">
        <v>9</v>
      </c>
      <c r="C141" s="24" t="s">
        <v>138</v>
      </c>
      <c r="D141" s="17" t="s">
        <v>60</v>
      </c>
      <c r="E141" s="24" t="s">
        <v>88</v>
      </c>
      <c r="F141" s="24" t="s">
        <v>89</v>
      </c>
      <c r="G141" s="24" t="s">
        <v>90</v>
      </c>
      <c r="H141" s="72" t="s">
        <v>91</v>
      </c>
      <c r="I141" s="62">
        <v>38733725207</v>
      </c>
      <c r="J141" s="72" t="s">
        <v>92</v>
      </c>
      <c r="K141" s="24" t="s">
        <v>139</v>
      </c>
      <c r="L141" s="24" t="s">
        <v>140</v>
      </c>
      <c r="M141" s="24" t="s">
        <v>95</v>
      </c>
      <c r="N141" s="24" t="s">
        <v>95</v>
      </c>
      <c r="O141" s="24" t="s">
        <v>95</v>
      </c>
      <c r="P141" s="38" t="s">
        <v>96</v>
      </c>
      <c r="Q141" s="45"/>
    </row>
    <row r="142" spans="1:17" s="46" customFormat="1" ht="42" customHeight="1">
      <c r="A142" s="17">
        <v>9</v>
      </c>
      <c r="B142" s="19" t="s">
        <v>10</v>
      </c>
      <c r="C142" s="24" t="s">
        <v>141</v>
      </c>
      <c r="D142" s="17" t="s">
        <v>60</v>
      </c>
      <c r="E142" s="24" t="s">
        <v>88</v>
      </c>
      <c r="F142" s="24" t="s">
        <v>89</v>
      </c>
      <c r="G142" s="24" t="s">
        <v>90</v>
      </c>
      <c r="H142" s="72" t="s">
        <v>91</v>
      </c>
      <c r="I142" s="62">
        <v>38733725207</v>
      </c>
      <c r="J142" s="72" t="s">
        <v>92</v>
      </c>
      <c r="K142" s="25" t="s">
        <v>142</v>
      </c>
      <c r="L142" s="24" t="s">
        <v>143</v>
      </c>
      <c r="M142" s="24" t="s">
        <v>95</v>
      </c>
      <c r="N142" s="24" t="s">
        <v>95</v>
      </c>
      <c r="O142" s="24" t="s">
        <v>95</v>
      </c>
      <c r="P142" s="38" t="s">
        <v>96</v>
      </c>
      <c r="Q142" s="45"/>
    </row>
    <row r="143" spans="1:17" s="46" customFormat="1" ht="144" customHeight="1">
      <c r="A143" s="17">
        <v>15</v>
      </c>
      <c r="B143" s="17" t="s">
        <v>17</v>
      </c>
      <c r="C143" s="17" t="s">
        <v>144</v>
      </c>
      <c r="D143" s="17" t="s">
        <v>60</v>
      </c>
      <c r="E143" s="17" t="s">
        <v>110</v>
      </c>
      <c r="F143" s="17" t="s">
        <v>111</v>
      </c>
      <c r="G143" s="17" t="s">
        <v>112</v>
      </c>
      <c r="H143" s="75" t="s">
        <v>113</v>
      </c>
      <c r="I143" s="17">
        <v>38733723635</v>
      </c>
      <c r="J143" s="75" t="s">
        <v>145</v>
      </c>
      <c r="K143" s="17" t="s">
        <v>146</v>
      </c>
      <c r="L143" s="17" t="s">
        <v>147</v>
      </c>
      <c r="M143" s="75" t="s">
        <v>148</v>
      </c>
      <c r="N143" s="75" t="s">
        <v>148</v>
      </c>
      <c r="O143" s="17"/>
      <c r="P143" s="38" t="s">
        <v>96</v>
      </c>
      <c r="Q143" s="45"/>
    </row>
    <row r="144" spans="1:17" s="46" customFormat="1" ht="158.44999999999999" customHeight="1">
      <c r="A144" s="17">
        <v>19</v>
      </c>
      <c r="B144" s="17" t="s">
        <v>20</v>
      </c>
      <c r="C144" s="17" t="s">
        <v>149</v>
      </c>
      <c r="D144" s="17" t="s">
        <v>60</v>
      </c>
      <c r="E144" s="17" t="s">
        <v>110</v>
      </c>
      <c r="F144" s="17" t="s">
        <v>111</v>
      </c>
      <c r="G144" s="17" t="s">
        <v>112</v>
      </c>
      <c r="H144" s="75" t="s">
        <v>113</v>
      </c>
      <c r="I144" s="17">
        <v>38733723635</v>
      </c>
      <c r="J144" s="75" t="s">
        <v>145</v>
      </c>
      <c r="K144" s="17" t="s">
        <v>146</v>
      </c>
      <c r="L144" s="17" t="s">
        <v>150</v>
      </c>
      <c r="M144" s="75" t="s">
        <v>151</v>
      </c>
      <c r="N144" s="75" t="s">
        <v>151</v>
      </c>
      <c r="O144" s="17"/>
      <c r="P144" s="38" t="s">
        <v>96</v>
      </c>
      <c r="Q144" s="45"/>
    </row>
    <row r="145" spans="1:17" s="46" customFormat="1" ht="45">
      <c r="A145" s="17">
        <v>20</v>
      </c>
      <c r="B145" s="17" t="s">
        <v>21</v>
      </c>
      <c r="C145" s="17" t="s">
        <v>152</v>
      </c>
      <c r="D145" s="17" t="s">
        <v>60</v>
      </c>
      <c r="E145" s="17" t="s">
        <v>110</v>
      </c>
      <c r="F145" s="17" t="s">
        <v>111</v>
      </c>
      <c r="G145" s="17" t="s">
        <v>112</v>
      </c>
      <c r="H145" s="75" t="s">
        <v>113</v>
      </c>
      <c r="I145" s="17">
        <v>38733723635</v>
      </c>
      <c r="J145" s="75" t="s">
        <v>145</v>
      </c>
      <c r="K145" s="17" t="s">
        <v>146</v>
      </c>
      <c r="L145" s="17" t="s">
        <v>153</v>
      </c>
      <c r="M145" s="75" t="s">
        <v>154</v>
      </c>
      <c r="N145" s="75" t="s">
        <v>154</v>
      </c>
      <c r="O145" s="17"/>
      <c r="P145" s="38" t="s">
        <v>96</v>
      </c>
      <c r="Q145" s="45"/>
    </row>
    <row r="146" spans="1:17" s="46" customFormat="1" ht="360">
      <c r="A146" s="17">
        <v>21</v>
      </c>
      <c r="B146" s="17" t="s">
        <v>25</v>
      </c>
      <c r="C146" s="17" t="s">
        <v>25</v>
      </c>
      <c r="D146" s="17" t="s">
        <v>60</v>
      </c>
      <c r="E146" s="17" t="s">
        <v>110</v>
      </c>
      <c r="F146" s="17" t="s">
        <v>111</v>
      </c>
      <c r="G146" s="17" t="s">
        <v>112</v>
      </c>
      <c r="H146" s="75" t="s">
        <v>113</v>
      </c>
      <c r="I146" s="17">
        <v>38733723635</v>
      </c>
      <c r="J146" s="75" t="s">
        <v>145</v>
      </c>
      <c r="K146" s="17" t="s">
        <v>155</v>
      </c>
      <c r="L146" s="17" t="s">
        <v>156</v>
      </c>
      <c r="M146" s="75" t="s">
        <v>157</v>
      </c>
      <c r="N146" s="75" t="s">
        <v>158</v>
      </c>
      <c r="O146" s="17"/>
      <c r="P146" s="38" t="s">
        <v>96</v>
      </c>
      <c r="Q146" s="45"/>
    </row>
    <row r="147" spans="1:17" s="46" customFormat="1" ht="104.45" customHeight="1">
      <c r="A147" s="17">
        <v>53</v>
      </c>
      <c r="B147" s="19" t="s">
        <v>19</v>
      </c>
      <c r="C147" s="19" t="s">
        <v>165</v>
      </c>
      <c r="D147" s="17" t="s">
        <v>60</v>
      </c>
      <c r="E147" s="19" t="s">
        <v>110</v>
      </c>
      <c r="F147" s="58"/>
      <c r="G147" s="58"/>
      <c r="H147" s="58"/>
      <c r="I147" s="58"/>
      <c r="J147" s="58"/>
      <c r="K147" s="19" t="s">
        <v>166</v>
      </c>
      <c r="L147" s="58"/>
      <c r="M147" s="58"/>
      <c r="N147" s="58"/>
      <c r="O147" s="58"/>
      <c r="P147" s="58" t="s">
        <v>167</v>
      </c>
      <c r="Q147" s="45"/>
    </row>
    <row r="148" spans="1:17" s="46" customFormat="1" ht="52.5">
      <c r="A148" s="17">
        <v>31</v>
      </c>
      <c r="B148" s="19" t="s">
        <v>3</v>
      </c>
      <c r="C148" s="19" t="s">
        <v>168</v>
      </c>
      <c r="D148" s="17" t="s">
        <v>60</v>
      </c>
      <c r="E148" s="19" t="s">
        <v>88</v>
      </c>
      <c r="F148" s="19" t="s">
        <v>169</v>
      </c>
      <c r="G148" s="19" t="s">
        <v>170</v>
      </c>
      <c r="H148" s="73"/>
      <c r="I148" s="19">
        <v>38733285261</v>
      </c>
      <c r="J148" s="73"/>
      <c r="K148" s="19"/>
      <c r="L148" s="19" t="s">
        <v>171</v>
      </c>
      <c r="M148" s="73"/>
      <c r="N148" s="73"/>
      <c r="O148" s="58"/>
      <c r="P148" s="58" t="s">
        <v>98</v>
      </c>
      <c r="Q148" s="45"/>
    </row>
    <row r="149" spans="1:17" s="46" customFormat="1" ht="94.5">
      <c r="A149" s="17">
        <v>34</v>
      </c>
      <c r="B149" s="19" t="s">
        <v>6</v>
      </c>
      <c r="C149" s="19" t="s">
        <v>172</v>
      </c>
      <c r="D149" s="17" t="s">
        <v>60</v>
      </c>
      <c r="E149" s="19" t="s">
        <v>110</v>
      </c>
      <c r="F149" s="19" t="s">
        <v>173</v>
      </c>
      <c r="G149" s="19" t="s">
        <v>174</v>
      </c>
      <c r="H149" s="73" t="s">
        <v>175</v>
      </c>
      <c r="I149" s="64">
        <v>387733637384</v>
      </c>
      <c r="J149" s="73" t="s">
        <v>176</v>
      </c>
      <c r="K149" s="19" t="s">
        <v>177</v>
      </c>
      <c r="L149" s="19" t="s">
        <v>178</v>
      </c>
      <c r="M149" s="19" t="s">
        <v>179</v>
      </c>
      <c r="N149" s="77" t="s">
        <v>180</v>
      </c>
      <c r="O149" s="58"/>
      <c r="P149" s="58" t="s">
        <v>98</v>
      </c>
      <c r="Q149" s="45"/>
    </row>
    <row r="150" spans="1:17" s="46" customFormat="1" ht="109.5" customHeight="1">
      <c r="A150" s="17">
        <v>36</v>
      </c>
      <c r="B150" s="19" t="s">
        <v>7</v>
      </c>
      <c r="C150" s="19" t="s">
        <v>181</v>
      </c>
      <c r="D150" s="17" t="s">
        <v>60</v>
      </c>
      <c r="E150" s="19" t="s">
        <v>88</v>
      </c>
      <c r="F150" s="19" t="s">
        <v>173</v>
      </c>
      <c r="G150" s="19" t="s">
        <v>174</v>
      </c>
      <c r="H150" s="77" t="s">
        <v>180</v>
      </c>
      <c r="I150" s="64">
        <v>387733637384</v>
      </c>
      <c r="J150" s="73" t="s">
        <v>176</v>
      </c>
      <c r="K150" s="19" t="s">
        <v>182</v>
      </c>
      <c r="L150" s="77" t="s">
        <v>180</v>
      </c>
      <c r="M150" s="77" t="s">
        <v>180</v>
      </c>
      <c r="N150" s="77" t="s">
        <v>180</v>
      </c>
      <c r="O150" s="58"/>
      <c r="P150" s="58" t="s">
        <v>98</v>
      </c>
      <c r="Q150" s="45"/>
    </row>
    <row r="151" spans="1:17" s="46" customFormat="1" ht="99" customHeight="1">
      <c r="A151" s="17">
        <v>39</v>
      </c>
      <c r="B151" s="19" t="s">
        <v>12</v>
      </c>
      <c r="C151" s="19" t="s">
        <v>183</v>
      </c>
      <c r="D151" s="17" t="s">
        <v>60</v>
      </c>
      <c r="E151" s="19" t="s">
        <v>88</v>
      </c>
      <c r="F151" s="19" t="s">
        <v>184</v>
      </c>
      <c r="G151" s="19"/>
      <c r="H151" s="73"/>
      <c r="I151" s="19"/>
      <c r="J151" s="73"/>
      <c r="K151" s="19"/>
      <c r="L151" s="19"/>
      <c r="M151" s="73"/>
      <c r="N151" s="73"/>
      <c r="O151" s="58"/>
      <c r="P151" s="58" t="s">
        <v>98</v>
      </c>
      <c r="Q151" s="45"/>
    </row>
    <row r="152" spans="1:17" s="46" customFormat="1" ht="29.45" customHeight="1">
      <c r="A152" s="17">
        <v>40</v>
      </c>
      <c r="B152" s="19" t="s">
        <v>13</v>
      </c>
      <c r="C152" s="19" t="s">
        <v>185</v>
      </c>
      <c r="D152" s="17" t="s">
        <v>60</v>
      </c>
      <c r="E152" s="19" t="s">
        <v>186</v>
      </c>
      <c r="F152" s="19" t="s">
        <v>187</v>
      </c>
      <c r="G152" s="19" t="s">
        <v>188</v>
      </c>
      <c r="H152" s="73" t="s">
        <v>189</v>
      </c>
      <c r="I152" s="19">
        <v>38733653093</v>
      </c>
      <c r="J152" s="73"/>
      <c r="K152" s="19"/>
      <c r="L152" s="19"/>
      <c r="M152" s="19"/>
      <c r="N152" s="73"/>
      <c r="O152" s="58"/>
      <c r="P152" s="58" t="s">
        <v>98</v>
      </c>
      <c r="Q152" s="45"/>
    </row>
    <row r="153" spans="1:17" s="46" customFormat="1" ht="29.45" customHeight="1">
      <c r="A153" s="17">
        <v>41</v>
      </c>
      <c r="B153" s="19" t="s">
        <v>14</v>
      </c>
      <c r="C153" s="19" t="s">
        <v>190</v>
      </c>
      <c r="D153" s="17" t="s">
        <v>60</v>
      </c>
      <c r="E153" s="19" t="s">
        <v>191</v>
      </c>
      <c r="F153" s="19" t="s">
        <v>192</v>
      </c>
      <c r="G153" s="19"/>
      <c r="H153" s="73"/>
      <c r="I153" s="19"/>
      <c r="J153" s="73"/>
      <c r="K153" s="19" t="s">
        <v>193</v>
      </c>
      <c r="L153" s="19"/>
      <c r="M153" s="19" t="s">
        <v>194</v>
      </c>
      <c r="N153" s="73"/>
      <c r="O153" s="58"/>
      <c r="P153" s="58" t="s">
        <v>98</v>
      </c>
      <c r="Q153" s="45"/>
    </row>
    <row r="154" spans="1:17" s="46" customFormat="1" ht="29.45" customHeight="1">
      <c r="A154" s="17">
        <v>42</v>
      </c>
      <c r="B154" s="19" t="s">
        <v>15</v>
      </c>
      <c r="C154" s="19"/>
      <c r="D154" s="17" t="s">
        <v>60</v>
      </c>
      <c r="E154" s="19" t="s">
        <v>88</v>
      </c>
      <c r="F154" s="19" t="s">
        <v>97</v>
      </c>
      <c r="G154" s="19"/>
      <c r="H154" s="73"/>
      <c r="I154" s="19"/>
      <c r="J154" s="73"/>
      <c r="K154" s="19"/>
      <c r="L154" s="19"/>
      <c r="M154" s="73"/>
      <c r="N154" s="73"/>
      <c r="O154" s="58"/>
      <c r="P154" s="58" t="s">
        <v>98</v>
      </c>
      <c r="Q154" s="45"/>
    </row>
    <row r="155" spans="1:17" s="46" customFormat="1" ht="136.5">
      <c r="A155" s="17">
        <v>52</v>
      </c>
      <c r="B155" s="19" t="s">
        <v>16</v>
      </c>
      <c r="C155" s="19" t="s">
        <v>195</v>
      </c>
      <c r="D155" s="17" t="s">
        <v>60</v>
      </c>
      <c r="E155" s="19" t="s">
        <v>110</v>
      </c>
      <c r="F155" s="58"/>
      <c r="G155" s="58"/>
      <c r="H155" s="78" t="s">
        <v>196</v>
      </c>
      <c r="I155" s="58"/>
      <c r="J155" s="58"/>
      <c r="K155" s="19" t="s">
        <v>197</v>
      </c>
      <c r="L155" s="58"/>
      <c r="M155" s="58"/>
      <c r="N155" s="58"/>
      <c r="O155" s="58"/>
      <c r="P155" s="58" t="s">
        <v>167</v>
      </c>
      <c r="Q155" s="45"/>
    </row>
    <row r="156" spans="1:17" s="46" customFormat="1" ht="73.5">
      <c r="A156" s="17">
        <v>58</v>
      </c>
      <c r="B156" s="19" t="s">
        <v>22</v>
      </c>
      <c r="C156" s="19" t="s">
        <v>198</v>
      </c>
      <c r="D156" s="17" t="s">
        <v>60</v>
      </c>
      <c r="E156" s="58" t="s">
        <v>199</v>
      </c>
      <c r="F156" s="58"/>
      <c r="G156" s="58"/>
      <c r="H156" s="19"/>
      <c r="I156" s="58"/>
      <c r="J156" s="58"/>
      <c r="K156" s="19" t="s">
        <v>200</v>
      </c>
      <c r="L156" s="58"/>
      <c r="M156" s="58"/>
      <c r="N156" s="58"/>
      <c r="O156" s="58"/>
      <c r="P156" s="58" t="s">
        <v>167</v>
      </c>
      <c r="Q156" s="45"/>
    </row>
    <row r="157" spans="1:17" s="46" customFormat="1" ht="71.45" customHeight="1">
      <c r="A157" s="17">
        <v>59</v>
      </c>
      <c r="B157" s="20" t="s">
        <v>23</v>
      </c>
      <c r="C157" s="20" t="s">
        <v>201</v>
      </c>
      <c r="D157" s="17" t="s">
        <v>60</v>
      </c>
      <c r="E157" s="58" t="s">
        <v>110</v>
      </c>
      <c r="F157" s="58"/>
      <c r="G157" s="58"/>
      <c r="H157" s="19"/>
      <c r="I157" s="58"/>
      <c r="J157" s="58"/>
      <c r="K157" s="19" t="s">
        <v>202</v>
      </c>
      <c r="L157" s="58"/>
      <c r="M157" s="58"/>
      <c r="N157" s="58"/>
      <c r="O157" s="58"/>
      <c r="P157" s="58" t="s">
        <v>167</v>
      </c>
      <c r="Q157" s="45"/>
    </row>
    <row r="158" spans="1:17" ht="21">
      <c r="A158" s="17">
        <v>60</v>
      </c>
      <c r="B158" s="19" t="s">
        <v>24</v>
      </c>
      <c r="C158" s="19"/>
      <c r="D158" s="17" t="s">
        <v>60</v>
      </c>
      <c r="E158" s="58" t="s">
        <v>88</v>
      </c>
      <c r="F158" s="58"/>
      <c r="G158" s="58"/>
      <c r="H158" s="73"/>
      <c r="I158" s="58"/>
      <c r="J158" s="58"/>
      <c r="K158" s="19"/>
      <c r="L158" s="58"/>
      <c r="M158" s="58"/>
      <c r="N158" s="58"/>
      <c r="O158" s="58"/>
      <c r="P158" s="58" t="s">
        <v>167</v>
      </c>
    </row>
    <row r="159" spans="1:17" ht="74.099999999999994" customHeight="1">
      <c r="A159" s="19">
        <v>3</v>
      </c>
      <c r="B159" s="19" t="s">
        <v>41</v>
      </c>
      <c r="C159" s="19" t="s">
        <v>255</v>
      </c>
      <c r="D159" s="19" t="s">
        <v>60</v>
      </c>
      <c r="E159" s="17" t="s">
        <v>110</v>
      </c>
      <c r="F159" s="19" t="s">
        <v>256</v>
      </c>
      <c r="G159" s="19" t="s">
        <v>257</v>
      </c>
      <c r="H159" s="73" t="s">
        <v>258</v>
      </c>
      <c r="I159" s="19">
        <v>38733226445</v>
      </c>
      <c r="J159" s="19"/>
      <c r="K159" s="19" t="s">
        <v>259</v>
      </c>
      <c r="L159" s="19" t="s">
        <v>260</v>
      </c>
      <c r="M159" s="19" t="s">
        <v>261</v>
      </c>
      <c r="N159" s="73" t="s">
        <v>262</v>
      </c>
      <c r="O159" s="73" t="s">
        <v>258</v>
      </c>
      <c r="P159" s="38" t="s">
        <v>96</v>
      </c>
    </row>
    <row r="160" spans="1:17" ht="102.6" customHeight="1">
      <c r="A160" s="19">
        <v>10</v>
      </c>
      <c r="B160" s="17" t="s">
        <v>42</v>
      </c>
      <c r="C160" s="17" t="s">
        <v>263</v>
      </c>
      <c r="D160" s="17" t="s">
        <v>60</v>
      </c>
      <c r="E160" s="17" t="s">
        <v>88</v>
      </c>
      <c r="F160" s="17" t="s">
        <v>264</v>
      </c>
      <c r="G160" s="17" t="s">
        <v>265</v>
      </c>
      <c r="H160" s="75" t="s">
        <v>266</v>
      </c>
      <c r="I160" s="17">
        <v>38733562027</v>
      </c>
      <c r="J160" s="75" t="s">
        <v>267</v>
      </c>
      <c r="K160" s="17" t="s">
        <v>268</v>
      </c>
      <c r="L160" s="17"/>
      <c r="M160" s="75" t="s">
        <v>269</v>
      </c>
      <c r="N160" s="75" t="s">
        <v>269</v>
      </c>
      <c r="O160" s="17"/>
      <c r="P160" s="38" t="s">
        <v>96</v>
      </c>
    </row>
    <row r="161" spans="1:16" ht="66.95" customHeight="1">
      <c r="A161" s="17">
        <v>38</v>
      </c>
      <c r="B161" s="19" t="s">
        <v>44</v>
      </c>
      <c r="C161" s="19" t="s">
        <v>270</v>
      </c>
      <c r="D161" s="19" t="s">
        <v>60</v>
      </c>
      <c r="E161" s="19" t="s">
        <v>271</v>
      </c>
      <c r="F161" s="19" t="s">
        <v>272</v>
      </c>
      <c r="G161" s="19"/>
      <c r="H161" s="73"/>
      <c r="I161" s="19"/>
      <c r="J161" s="73"/>
      <c r="K161" s="19"/>
      <c r="L161" s="19" t="s">
        <v>273</v>
      </c>
      <c r="M161" s="30" t="s">
        <v>274</v>
      </c>
      <c r="N161" s="73"/>
      <c r="O161" s="58"/>
      <c r="P161" s="58" t="s">
        <v>98</v>
      </c>
    </row>
    <row r="162" spans="1:16" ht="69.599999999999994" customHeight="1">
      <c r="A162" s="17">
        <v>1</v>
      </c>
      <c r="B162" s="17" t="s">
        <v>68</v>
      </c>
      <c r="C162" s="17" t="s">
        <v>311</v>
      </c>
      <c r="D162" s="17" t="s">
        <v>60</v>
      </c>
      <c r="E162" s="17" t="s">
        <v>110</v>
      </c>
      <c r="F162" s="17" t="s">
        <v>312</v>
      </c>
      <c r="G162" s="17" t="s">
        <v>313</v>
      </c>
      <c r="H162" s="75" t="s">
        <v>314</v>
      </c>
      <c r="I162" s="17">
        <v>38733777260</v>
      </c>
      <c r="J162" s="75" t="s">
        <v>315</v>
      </c>
      <c r="K162" s="17" t="s">
        <v>316</v>
      </c>
      <c r="L162" s="17" t="s">
        <v>317</v>
      </c>
      <c r="M162" s="17" t="s">
        <v>318</v>
      </c>
      <c r="N162" s="17"/>
      <c r="O162" s="17"/>
      <c r="P162" s="38" t="s">
        <v>96</v>
      </c>
    </row>
    <row r="163" spans="1:16" ht="93" customHeight="1">
      <c r="A163" s="17">
        <v>5</v>
      </c>
      <c r="B163" s="17" t="s">
        <v>69</v>
      </c>
      <c r="C163" s="17" t="s">
        <v>319</v>
      </c>
      <c r="D163" s="17" t="s">
        <v>60</v>
      </c>
      <c r="E163" s="17" t="s">
        <v>110</v>
      </c>
      <c r="F163" s="17" t="s">
        <v>312</v>
      </c>
      <c r="G163" s="17" t="s">
        <v>265</v>
      </c>
      <c r="H163" s="17"/>
      <c r="I163" s="17"/>
      <c r="J163" s="17"/>
      <c r="K163" s="17" t="s">
        <v>320</v>
      </c>
      <c r="L163" s="17"/>
      <c r="M163" s="17"/>
      <c r="N163" s="17"/>
      <c r="O163" s="17" t="s">
        <v>321</v>
      </c>
      <c r="P163" s="38" t="s">
        <v>96</v>
      </c>
    </row>
    <row r="164" spans="1:16" ht="83.1" customHeight="1">
      <c r="A164" s="17">
        <v>6</v>
      </c>
      <c r="B164" s="17" t="s">
        <v>62</v>
      </c>
      <c r="C164" s="17" t="s">
        <v>322</v>
      </c>
      <c r="D164" s="17" t="s">
        <v>60</v>
      </c>
      <c r="E164" s="17" t="s">
        <v>110</v>
      </c>
      <c r="F164" s="17" t="s">
        <v>284</v>
      </c>
      <c r="G164" s="17" t="s">
        <v>285</v>
      </c>
      <c r="H164" s="80" t="s">
        <v>323</v>
      </c>
      <c r="I164" s="17">
        <v>38733562379</v>
      </c>
      <c r="J164" s="81" t="s">
        <v>324</v>
      </c>
      <c r="K164" s="17"/>
      <c r="L164" s="17" t="s">
        <v>325</v>
      </c>
      <c r="M164" s="17" t="s">
        <v>326</v>
      </c>
      <c r="N164" s="75" t="s">
        <v>327</v>
      </c>
      <c r="O164" s="17" t="s">
        <v>328</v>
      </c>
      <c r="P164" s="38" t="s">
        <v>96</v>
      </c>
    </row>
    <row r="165" spans="1:16" ht="66.95" customHeight="1">
      <c r="A165" s="66">
        <v>16</v>
      </c>
      <c r="B165" s="66" t="s">
        <v>63</v>
      </c>
      <c r="C165" s="66" t="s">
        <v>329</v>
      </c>
      <c r="D165" s="66" t="s">
        <v>60</v>
      </c>
      <c r="E165" s="66" t="s">
        <v>110</v>
      </c>
      <c r="F165" s="17" t="s">
        <v>111</v>
      </c>
      <c r="G165" s="17" t="s">
        <v>112</v>
      </c>
      <c r="H165" s="75" t="s">
        <v>113</v>
      </c>
      <c r="I165" s="17">
        <v>38733723635</v>
      </c>
      <c r="J165" s="75" t="s">
        <v>145</v>
      </c>
      <c r="K165" s="66" t="s">
        <v>146</v>
      </c>
      <c r="L165" s="17" t="s">
        <v>330</v>
      </c>
      <c r="M165" s="75" t="s">
        <v>331</v>
      </c>
      <c r="N165" s="75" t="s">
        <v>331</v>
      </c>
      <c r="O165" s="17"/>
      <c r="P165" s="38" t="s">
        <v>96</v>
      </c>
    </row>
    <row r="166" spans="1:16" ht="44.1" customHeight="1">
      <c r="A166" s="66">
        <v>16</v>
      </c>
      <c r="B166" s="66" t="s">
        <v>63</v>
      </c>
      <c r="C166" s="66" t="s">
        <v>329</v>
      </c>
      <c r="D166" s="83" t="s">
        <v>60</v>
      </c>
      <c r="E166" s="66" t="s">
        <v>110</v>
      </c>
      <c r="F166" s="17" t="s">
        <v>284</v>
      </c>
      <c r="G166" s="17" t="s">
        <v>285</v>
      </c>
      <c r="H166" s="17" t="s">
        <v>323</v>
      </c>
      <c r="I166" s="17">
        <v>38733562379</v>
      </c>
      <c r="J166" s="75" t="s">
        <v>332</v>
      </c>
      <c r="K166" s="66" t="s">
        <v>146</v>
      </c>
      <c r="L166" s="17" t="s">
        <v>333</v>
      </c>
      <c r="M166" s="17" t="s">
        <v>334</v>
      </c>
      <c r="N166" s="75" t="s">
        <v>335</v>
      </c>
      <c r="O166" s="17" t="s">
        <v>328</v>
      </c>
      <c r="P166" s="38" t="s">
        <v>96</v>
      </c>
    </row>
    <row r="167" spans="1:16" ht="31.5" customHeight="1">
      <c r="A167" s="17">
        <v>23</v>
      </c>
      <c r="B167" s="17" t="s">
        <v>64</v>
      </c>
      <c r="C167" s="17" t="s">
        <v>336</v>
      </c>
      <c r="D167" s="82" t="s">
        <v>60</v>
      </c>
      <c r="E167" s="17" t="s">
        <v>110</v>
      </c>
      <c r="F167" s="17" t="s">
        <v>312</v>
      </c>
      <c r="G167" s="17" t="s">
        <v>313</v>
      </c>
      <c r="H167" s="75" t="s">
        <v>314</v>
      </c>
      <c r="I167" s="17">
        <v>38733777260</v>
      </c>
      <c r="J167" s="75" t="s">
        <v>315</v>
      </c>
      <c r="K167" s="17" t="s">
        <v>337</v>
      </c>
      <c r="L167" s="17" t="s">
        <v>338</v>
      </c>
      <c r="M167" s="17" t="s">
        <v>339</v>
      </c>
      <c r="N167" s="17"/>
      <c r="O167" s="17" t="s">
        <v>340</v>
      </c>
      <c r="P167" s="38" t="s">
        <v>96</v>
      </c>
    </row>
    <row r="168" spans="1:16" ht="31.5" customHeight="1">
      <c r="A168" s="17">
        <v>26</v>
      </c>
      <c r="B168" s="17" t="s">
        <v>65</v>
      </c>
      <c r="C168" s="17" t="s">
        <v>341</v>
      </c>
      <c r="D168" s="82" t="s">
        <v>60</v>
      </c>
      <c r="E168" s="17" t="s">
        <v>110</v>
      </c>
      <c r="F168" s="17" t="s">
        <v>312</v>
      </c>
      <c r="G168" s="17" t="s">
        <v>313</v>
      </c>
      <c r="H168" s="75" t="s">
        <v>314</v>
      </c>
      <c r="I168" s="17">
        <v>38733777260</v>
      </c>
      <c r="J168" s="75" t="s">
        <v>315</v>
      </c>
      <c r="K168" s="17" t="s">
        <v>342</v>
      </c>
      <c r="L168" s="17" t="s">
        <v>343</v>
      </c>
      <c r="M168" s="17" t="s">
        <v>344</v>
      </c>
      <c r="N168" s="17"/>
      <c r="O168" s="17" t="s">
        <v>345</v>
      </c>
      <c r="P168" s="38" t="s">
        <v>96</v>
      </c>
    </row>
    <row r="169" spans="1:16" ht="31.5" customHeight="1">
      <c r="A169" s="17">
        <v>27</v>
      </c>
      <c r="B169" s="17" t="s">
        <v>66</v>
      </c>
      <c r="C169" s="17" t="s">
        <v>322</v>
      </c>
      <c r="D169" s="82" t="s">
        <v>60</v>
      </c>
      <c r="E169" s="17" t="s">
        <v>110</v>
      </c>
      <c r="F169" s="17" t="s">
        <v>284</v>
      </c>
      <c r="G169" s="17" t="s">
        <v>285</v>
      </c>
      <c r="H169" s="80" t="s">
        <v>323</v>
      </c>
      <c r="I169" s="17">
        <v>38733562379</v>
      </c>
      <c r="J169" s="75" t="s">
        <v>332</v>
      </c>
      <c r="K169" s="17"/>
      <c r="L169" s="17" t="s">
        <v>346</v>
      </c>
      <c r="M169" s="17" t="s">
        <v>347</v>
      </c>
      <c r="N169" s="75" t="s">
        <v>348</v>
      </c>
      <c r="O169" s="17" t="s">
        <v>328</v>
      </c>
      <c r="P169" s="38" t="s">
        <v>96</v>
      </c>
    </row>
    <row r="170" spans="1:16" ht="31.5" customHeight="1">
      <c r="A170" s="17">
        <v>28</v>
      </c>
      <c r="B170" s="17" t="s">
        <v>67</v>
      </c>
      <c r="C170" s="17" t="s">
        <v>322</v>
      </c>
      <c r="D170" s="82" t="s">
        <v>60</v>
      </c>
      <c r="E170" s="17" t="s">
        <v>110</v>
      </c>
      <c r="F170" s="17" t="s">
        <v>284</v>
      </c>
      <c r="G170" s="17" t="s">
        <v>285</v>
      </c>
      <c r="H170" s="80" t="s">
        <v>323</v>
      </c>
      <c r="I170" s="17">
        <v>38733562379</v>
      </c>
      <c r="J170" s="75" t="s">
        <v>332</v>
      </c>
      <c r="K170" s="17"/>
      <c r="L170" s="17" t="s">
        <v>346</v>
      </c>
      <c r="M170" s="17" t="s">
        <v>347</v>
      </c>
      <c r="N170" s="75" t="s">
        <v>349</v>
      </c>
      <c r="O170" s="17" t="s">
        <v>328</v>
      </c>
      <c r="P170" s="38" t="s">
        <v>96</v>
      </c>
    </row>
    <row r="171" spans="1:16" ht="99.6" customHeight="1">
      <c r="A171" s="17">
        <v>30</v>
      </c>
      <c r="B171" s="17" t="s">
        <v>70</v>
      </c>
      <c r="C171" s="17" t="s">
        <v>350</v>
      </c>
      <c r="D171" s="17" t="s">
        <v>60</v>
      </c>
      <c r="E171" s="17" t="s">
        <v>88</v>
      </c>
      <c r="F171" s="17" t="s">
        <v>101</v>
      </c>
      <c r="G171" s="17"/>
      <c r="H171" s="17"/>
      <c r="I171" s="17"/>
      <c r="J171" s="75"/>
      <c r="K171" s="17" t="s">
        <v>351</v>
      </c>
      <c r="L171" s="17" t="s">
        <v>352</v>
      </c>
      <c r="M171" s="17" t="s">
        <v>353</v>
      </c>
      <c r="N171" s="17"/>
      <c r="O171" s="17" t="s">
        <v>354</v>
      </c>
      <c r="P171" s="38" t="s">
        <v>96</v>
      </c>
    </row>
    <row r="172" spans="1:16" ht="99.6" customHeight="1">
      <c r="A172" s="17">
        <v>35</v>
      </c>
      <c r="B172" s="19" t="s">
        <v>61</v>
      </c>
      <c r="C172" s="19" t="s">
        <v>355</v>
      </c>
      <c r="D172" s="17" t="s">
        <v>60</v>
      </c>
      <c r="E172" s="19" t="s">
        <v>110</v>
      </c>
      <c r="F172" s="19" t="s">
        <v>173</v>
      </c>
      <c r="G172" s="19" t="s">
        <v>174</v>
      </c>
      <c r="H172" s="73"/>
      <c r="I172" s="64">
        <v>387733637384</v>
      </c>
      <c r="J172" s="75" t="s">
        <v>176</v>
      </c>
      <c r="K172" s="19" t="s">
        <v>356</v>
      </c>
      <c r="L172" s="19" t="s">
        <v>301</v>
      </c>
      <c r="M172" s="19" t="s">
        <v>301</v>
      </c>
      <c r="N172" s="19" t="s">
        <v>301</v>
      </c>
      <c r="O172" s="58"/>
      <c r="P172" s="58" t="s">
        <v>98</v>
      </c>
    </row>
    <row r="173" spans="1:16" ht="72" customHeight="1">
      <c r="A173" s="17">
        <v>24</v>
      </c>
      <c r="B173" s="19" t="s">
        <v>27</v>
      </c>
      <c r="C173" s="24" t="s">
        <v>203</v>
      </c>
      <c r="D173" s="58" t="s">
        <v>60</v>
      </c>
      <c r="E173" s="24" t="s">
        <v>88</v>
      </c>
      <c r="F173" s="24" t="s">
        <v>204</v>
      </c>
      <c r="G173" s="24" t="s">
        <v>90</v>
      </c>
      <c r="H173" s="24" t="s">
        <v>91</v>
      </c>
      <c r="I173" s="62">
        <v>38733725207</v>
      </c>
      <c r="J173" s="75" t="s">
        <v>92</v>
      </c>
      <c r="K173" s="24" t="s">
        <v>205</v>
      </c>
      <c r="L173" s="24" t="s">
        <v>206</v>
      </c>
      <c r="M173" s="24" t="s">
        <v>95</v>
      </c>
      <c r="N173" s="24" t="s">
        <v>95</v>
      </c>
      <c r="O173" s="24" t="s">
        <v>95</v>
      </c>
      <c r="P173" s="38" t="s">
        <v>96</v>
      </c>
    </row>
    <row r="174" spans="1:16" ht="72" customHeight="1">
      <c r="A174" s="17">
        <v>37</v>
      </c>
      <c r="B174" s="19" t="s">
        <v>43</v>
      </c>
      <c r="C174" s="19" t="s">
        <v>275</v>
      </c>
      <c r="D174" s="19" t="s">
        <v>60</v>
      </c>
      <c r="E174" s="19" t="s">
        <v>186</v>
      </c>
      <c r="F174" s="19" t="s">
        <v>276</v>
      </c>
      <c r="G174" s="19" t="s">
        <v>277</v>
      </c>
      <c r="H174" s="73"/>
      <c r="I174" s="19"/>
      <c r="J174" s="75"/>
      <c r="K174" s="19"/>
      <c r="L174" s="19" t="s">
        <v>278</v>
      </c>
      <c r="M174" s="19" t="s">
        <v>279</v>
      </c>
      <c r="N174" s="73"/>
      <c r="O174" s="58"/>
      <c r="P174" s="58" t="s">
        <v>98</v>
      </c>
    </row>
    <row r="175" spans="1:16" ht="72" customHeight="1">
      <c r="A175" s="17">
        <v>43</v>
      </c>
      <c r="B175" s="19" t="s">
        <v>45</v>
      </c>
      <c r="C175" s="19"/>
      <c r="D175" s="19" t="s">
        <v>60</v>
      </c>
      <c r="E175" s="19" t="s">
        <v>271</v>
      </c>
      <c r="F175" s="19"/>
      <c r="G175" s="19"/>
      <c r="H175" s="73"/>
      <c r="I175" s="19"/>
      <c r="J175" s="75"/>
      <c r="K175" s="73" t="s">
        <v>280</v>
      </c>
      <c r="L175" s="19"/>
      <c r="M175" s="73"/>
      <c r="N175" s="73"/>
      <c r="O175" s="58"/>
      <c r="P175" s="58"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157FB-72B3-4C4B-85B7-17A5CFA382E2}">
  <dimension ref="A1:H23"/>
  <sheetViews>
    <sheetView workbookViewId="0">
      <selection activeCell="G25" sqref="G25"/>
    </sheetView>
  </sheetViews>
  <sheetFormatPr defaultRowHeight="15"/>
  <cols>
    <col min="1" max="1" width="48" bestFit="1" customWidth="1"/>
    <col min="7" max="7" width="48" bestFit="1" customWidth="1"/>
  </cols>
  <sheetData>
    <row r="1" spans="1:8">
      <c r="A1" s="109" t="s">
        <v>77</v>
      </c>
      <c r="B1" t="s">
        <v>558</v>
      </c>
      <c r="C1" t="s">
        <v>559</v>
      </c>
      <c r="G1" t="s">
        <v>77</v>
      </c>
    </row>
    <row r="2" spans="1:8">
      <c r="A2" s="149" t="s">
        <v>170</v>
      </c>
      <c r="B2">
        <v>43.858553000000001</v>
      </c>
      <c r="C2">
        <v>18.402099609375</v>
      </c>
      <c r="G2" t="s">
        <v>313</v>
      </c>
      <c r="H2">
        <f>COUNTIF(A:A,G2)</f>
        <v>1</v>
      </c>
    </row>
    <row r="3" spans="1:8">
      <c r="A3" s="149" t="s">
        <v>295</v>
      </c>
      <c r="B3">
        <v>43.857349450000001</v>
      </c>
      <c r="C3">
        <v>18.413135847170199</v>
      </c>
      <c r="G3" t="s">
        <v>257</v>
      </c>
      <c r="H3">
        <f t="shared" ref="H3:H22" si="0">COUNTIF(A:A,G3)</f>
        <v>1</v>
      </c>
    </row>
    <row r="4" spans="1:8">
      <c r="A4" s="149" t="s">
        <v>174</v>
      </c>
      <c r="B4">
        <v>43.829455600000003</v>
      </c>
      <c r="C4">
        <v>18.310951865680199</v>
      </c>
      <c r="G4" t="s">
        <v>126</v>
      </c>
      <c r="H4">
        <f t="shared" si="0"/>
        <v>1</v>
      </c>
    </row>
    <row r="5" spans="1:8">
      <c r="A5" s="149" t="s">
        <v>277</v>
      </c>
      <c r="B5">
        <v>43.847950949999998</v>
      </c>
      <c r="C5">
        <v>18.3536972495775</v>
      </c>
      <c r="G5" t="s">
        <v>265</v>
      </c>
      <c r="H5">
        <f t="shared" si="0"/>
        <v>1</v>
      </c>
    </row>
    <row r="6" spans="1:8">
      <c r="A6" s="149" t="s">
        <v>188</v>
      </c>
      <c r="B6">
        <v>43.852587649999997</v>
      </c>
      <c r="C6">
        <v>18.3816443990954</v>
      </c>
      <c r="G6" t="s">
        <v>285</v>
      </c>
      <c r="H6">
        <f t="shared" si="0"/>
        <v>1</v>
      </c>
    </row>
    <row r="7" spans="1:8">
      <c r="A7" s="150" t="s">
        <v>420</v>
      </c>
      <c r="B7">
        <v>43.85633</v>
      </c>
      <c r="C7">
        <v>18.384492399999999</v>
      </c>
      <c r="G7" t="s">
        <v>90</v>
      </c>
      <c r="H7">
        <f t="shared" si="0"/>
        <v>1</v>
      </c>
    </row>
    <row r="8" spans="1:8">
      <c r="A8" s="149" t="s">
        <v>304</v>
      </c>
      <c r="B8">
        <v>43.857349450000001</v>
      </c>
      <c r="C8">
        <v>18.413135847170199</v>
      </c>
      <c r="G8" t="s">
        <v>213</v>
      </c>
      <c r="H8">
        <f t="shared" si="0"/>
        <v>1</v>
      </c>
    </row>
    <row r="9" spans="1:8">
      <c r="A9" s="149" t="s">
        <v>234</v>
      </c>
      <c r="B9">
        <v>43.8671705</v>
      </c>
      <c r="C9">
        <v>18.413270799999999</v>
      </c>
      <c r="G9" t="s">
        <v>112</v>
      </c>
      <c r="H9">
        <f t="shared" si="0"/>
        <v>1</v>
      </c>
    </row>
    <row r="10" spans="1:8">
      <c r="A10" t="s">
        <v>313</v>
      </c>
      <c r="B10">
        <v>43.833867749999897</v>
      </c>
      <c r="C10">
        <v>18.3318392646853</v>
      </c>
      <c r="G10" t="s">
        <v>243</v>
      </c>
      <c r="H10">
        <f t="shared" si="0"/>
        <v>1</v>
      </c>
    </row>
    <row r="11" spans="1:8">
      <c r="A11" t="s">
        <v>102</v>
      </c>
      <c r="B11">
        <v>43.899231149999999</v>
      </c>
      <c r="C11">
        <v>18.4151610950864</v>
      </c>
      <c r="G11" t="s">
        <v>119</v>
      </c>
      <c r="H11">
        <f t="shared" si="0"/>
        <v>1</v>
      </c>
    </row>
    <row r="12" spans="1:8">
      <c r="A12" t="s">
        <v>257</v>
      </c>
      <c r="B12">
        <v>43.857481149999998</v>
      </c>
      <c r="C12">
        <v>18.416157265859901</v>
      </c>
      <c r="G12" t="s">
        <v>170</v>
      </c>
      <c r="H12">
        <f t="shared" si="0"/>
        <v>1</v>
      </c>
    </row>
    <row r="13" spans="1:8">
      <c r="A13" t="s">
        <v>126</v>
      </c>
      <c r="B13">
        <v>43.851796999999998</v>
      </c>
      <c r="C13">
        <v>18.3827719453942</v>
      </c>
      <c r="G13" t="s">
        <v>295</v>
      </c>
      <c r="H13">
        <f t="shared" si="0"/>
        <v>1</v>
      </c>
    </row>
    <row r="14" spans="1:8">
      <c r="A14" t="s">
        <v>265</v>
      </c>
      <c r="B14">
        <v>43.857349450000001</v>
      </c>
      <c r="C14">
        <v>18.413135847170199</v>
      </c>
      <c r="G14" t="s">
        <v>484</v>
      </c>
      <c r="H14">
        <f t="shared" si="0"/>
        <v>1</v>
      </c>
    </row>
    <row r="15" spans="1:8">
      <c r="A15" t="s">
        <v>285</v>
      </c>
      <c r="B15">
        <v>43.857201400000001</v>
      </c>
      <c r="C15">
        <v>18.413743400000001</v>
      </c>
      <c r="G15" t="s">
        <v>174</v>
      </c>
      <c r="H15">
        <f t="shared" si="0"/>
        <v>1</v>
      </c>
    </row>
    <row r="16" spans="1:8">
      <c r="A16" t="s">
        <v>90</v>
      </c>
      <c r="B16">
        <v>43.85633</v>
      </c>
      <c r="C16">
        <v>18.384492399999999</v>
      </c>
      <c r="G16" t="s">
        <v>277</v>
      </c>
      <c r="H16">
        <f t="shared" si="0"/>
        <v>1</v>
      </c>
    </row>
    <row r="17" spans="1:8">
      <c r="A17" t="s">
        <v>213</v>
      </c>
      <c r="B17">
        <v>43.84666275</v>
      </c>
      <c r="C17">
        <v>18.354620012764201</v>
      </c>
      <c r="G17" t="s">
        <v>188</v>
      </c>
      <c r="H17">
        <f t="shared" si="0"/>
        <v>1</v>
      </c>
    </row>
    <row r="18" spans="1:8">
      <c r="A18" t="s">
        <v>112</v>
      </c>
      <c r="B18">
        <v>43.843953499999998</v>
      </c>
      <c r="C18">
        <v>18.358142300000001</v>
      </c>
      <c r="G18" t="s">
        <v>420</v>
      </c>
      <c r="H18">
        <f t="shared" si="0"/>
        <v>1</v>
      </c>
    </row>
    <row r="19" spans="1:8">
      <c r="A19" t="s">
        <v>243</v>
      </c>
      <c r="B19">
        <v>43.85358815</v>
      </c>
      <c r="C19">
        <v>18.394800338932299</v>
      </c>
      <c r="G19" t="s">
        <v>525</v>
      </c>
      <c r="H19">
        <f t="shared" si="0"/>
        <v>1</v>
      </c>
    </row>
    <row r="20" spans="1:8">
      <c r="A20" t="s">
        <v>119</v>
      </c>
      <c r="B20">
        <v>43.856848849999999</v>
      </c>
      <c r="C20">
        <v>18.384989102369499</v>
      </c>
      <c r="G20" t="s">
        <v>304</v>
      </c>
      <c r="H20">
        <f t="shared" si="0"/>
        <v>1</v>
      </c>
    </row>
    <row r="21" spans="1:8">
      <c r="A21" t="s">
        <v>484</v>
      </c>
      <c r="B21">
        <v>43.85633</v>
      </c>
      <c r="C21">
        <v>18.384492399999999</v>
      </c>
      <c r="G21" t="s">
        <v>234</v>
      </c>
      <c r="H21">
        <f t="shared" si="0"/>
        <v>1</v>
      </c>
    </row>
    <row r="22" spans="1:8">
      <c r="A22" t="s">
        <v>525</v>
      </c>
      <c r="B22">
        <v>43.858199999999997</v>
      </c>
      <c r="C22">
        <v>18.414709999999999</v>
      </c>
      <c r="G22" t="s">
        <v>540</v>
      </c>
      <c r="H22">
        <f t="shared" si="0"/>
        <v>1</v>
      </c>
    </row>
    <row r="23" spans="1:8">
      <c r="A23" t="s">
        <v>540</v>
      </c>
      <c r="B23">
        <v>43.850349999999999</v>
      </c>
      <c r="C23">
        <v>18.37697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5546875" defaultRowHeight="1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heetViews>
  <sheetFormatPr defaultRowHeight="15"/>
  <cols>
    <col min="18" max="18" width="10.28515625" customWidth="1"/>
  </cols>
  <sheetData>
    <row r="1" spans="2:21" ht="32.450000000000003" customHeight="1"/>
    <row r="2" spans="2:21">
      <c r="B2" s="157" t="s">
        <v>357</v>
      </c>
      <c r="C2" s="157"/>
      <c r="D2" s="157"/>
      <c r="E2" s="157"/>
      <c r="F2" s="157"/>
      <c r="G2" s="157"/>
      <c r="H2" s="157"/>
      <c r="I2" s="157"/>
      <c r="J2" s="157"/>
      <c r="K2" s="157"/>
      <c r="L2" s="157"/>
      <c r="M2" s="157"/>
      <c r="N2" s="157"/>
      <c r="O2" s="157"/>
      <c r="P2" s="157"/>
      <c r="Q2" s="157"/>
      <c r="R2" s="157"/>
      <c r="S2" s="157"/>
      <c r="T2" s="157"/>
      <c r="U2" s="157"/>
    </row>
    <row r="3" spans="2:21">
      <c r="B3" s="157"/>
      <c r="C3" s="157"/>
      <c r="D3" s="157"/>
      <c r="E3" s="157"/>
      <c r="F3" s="157"/>
      <c r="G3" s="157"/>
      <c r="H3" s="157"/>
      <c r="I3" s="157"/>
      <c r="J3" s="157"/>
      <c r="K3" s="157"/>
      <c r="L3" s="157"/>
      <c r="M3" s="157"/>
      <c r="N3" s="157"/>
      <c r="O3" s="157"/>
      <c r="P3" s="157"/>
      <c r="Q3" s="157"/>
      <c r="R3" s="157"/>
      <c r="S3" s="157"/>
      <c r="T3" s="157"/>
      <c r="U3" s="157"/>
    </row>
    <row r="6" spans="2:21">
      <c r="B6" s="158" t="s">
        <v>358</v>
      </c>
      <c r="C6" s="159"/>
      <c r="D6" s="159"/>
      <c r="E6" s="159"/>
      <c r="F6" s="159"/>
      <c r="G6" s="159"/>
      <c r="H6" s="159"/>
      <c r="I6" s="159"/>
      <c r="J6" s="159"/>
      <c r="K6" s="159"/>
      <c r="L6" s="159"/>
      <c r="M6" s="159"/>
      <c r="N6" s="159"/>
      <c r="O6" s="159"/>
      <c r="P6" s="159"/>
      <c r="Q6" s="159"/>
      <c r="R6" s="159"/>
      <c r="S6" s="159"/>
      <c r="T6" s="159"/>
      <c r="U6" s="159"/>
    </row>
    <row r="7" spans="2:21">
      <c r="B7" s="159"/>
      <c r="C7" s="159"/>
      <c r="D7" s="159"/>
      <c r="E7" s="159"/>
      <c r="F7" s="159"/>
      <c r="G7" s="159"/>
      <c r="H7" s="159"/>
      <c r="I7" s="159"/>
      <c r="J7" s="159"/>
      <c r="K7" s="159"/>
      <c r="L7" s="159"/>
      <c r="M7" s="159"/>
      <c r="N7" s="159"/>
      <c r="O7" s="159"/>
      <c r="P7" s="159"/>
      <c r="Q7" s="159"/>
      <c r="R7" s="159"/>
      <c r="S7" s="159"/>
      <c r="T7" s="159"/>
      <c r="U7" s="159"/>
    </row>
    <row r="8" spans="2:21" ht="18.95" customHeight="1">
      <c r="B8" s="159"/>
      <c r="C8" s="159"/>
      <c r="D8" s="159"/>
      <c r="E8" s="159"/>
      <c r="F8" s="159"/>
      <c r="G8" s="159"/>
      <c r="H8" s="159"/>
      <c r="I8" s="159"/>
      <c r="J8" s="159"/>
      <c r="K8" s="159"/>
      <c r="L8" s="159"/>
      <c r="M8" s="159"/>
      <c r="N8" s="159"/>
      <c r="O8" s="159"/>
      <c r="P8" s="159"/>
      <c r="Q8" s="159"/>
      <c r="R8" s="159"/>
      <c r="S8" s="159"/>
      <c r="T8" s="159"/>
      <c r="U8" s="159"/>
    </row>
    <row r="28" spans="13:19" ht="18.75">
      <c r="M28" s="123" t="s">
        <v>359</v>
      </c>
      <c r="S28" s="124"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11" spans="2:8" ht="15.75" thickBot="1"/>
    <row r="12" spans="2:8" ht="51.6" customHeight="1" thickTop="1" thickBot="1">
      <c r="B12" s="12" t="s">
        <v>96</v>
      </c>
      <c r="C12" s="16" t="s">
        <v>9</v>
      </c>
      <c r="E12" s="129" t="str">
        <f>VLOOKUP(C12,Table2[[Naziv ]:[Dodatne napomene]],2,0)</f>
        <v>Pravo na medicinsku rehabilitaciju u ugovornim banjama</v>
      </c>
      <c r="F12" s="127" t="str">
        <f>VLOOKUP(C12,Table2[[Naziv ]:[Dodatne napomene]],6,0)</f>
        <v>Zavod zdravstvenog osiguranja Kantona Sarajevo</v>
      </c>
      <c r="G12" s="127" t="str">
        <f>VLOOKUP(C12,Table2[[Naziv ]:[Dodatne napomene]],7,0)</f>
        <v>Ložionička 2, 71000 Sarajevo, Bosna i Hercegovina</v>
      </c>
      <c r="H12" s="128">
        <f>VLOOKUP(C12,Table2[[Naziv ]:[Dodatne napomene]],9,0)</f>
        <v>38733725207</v>
      </c>
    </row>
    <row r="13" spans="2:8" ht="16.5" thickTop="1" thickBot="1">
      <c r="B13" s="11"/>
      <c r="E13" s="130"/>
    </row>
    <row r="14" spans="2:8" ht="51.6" customHeight="1" thickTop="1" thickBot="1">
      <c r="B14" s="12" t="s">
        <v>98</v>
      </c>
      <c r="C14" s="138" t="s">
        <v>37</v>
      </c>
      <c r="E14" s="129" t="str">
        <f>VLOOKUP(C14,Table5[],2,0)</f>
        <v>Djeca koja su braća/sestre djeteta sa poteškoćama u razvoju imaju pravo na subvenciju troškova vrtića.</v>
      </c>
      <c r="F14" s="127" t="str">
        <f>VLOOKUP(C14,Table5[],6,0)</f>
        <v>Nadležna općina</v>
      </c>
      <c r="G14" s="127">
        <f>VLOOKUP(C14,Table5[],7,0)</f>
        <v>0</v>
      </c>
      <c r="H14" s="128">
        <f>VLOOKUP(C14,Table5[],9,0)</f>
        <v>0</v>
      </c>
    </row>
    <row r="15" spans="2:8" ht="16.5" thickTop="1" thickBot="1">
      <c r="B15" s="11"/>
      <c r="C15" s="139"/>
      <c r="E15" s="130"/>
    </row>
    <row r="16" spans="2:8" ht="51.6" customHeight="1" thickTop="1" thickBot="1">
      <c r="B16" s="12" t="s">
        <v>167</v>
      </c>
      <c r="C16" s="16" t="s">
        <v>535</v>
      </c>
      <c r="E16" s="129" t="str">
        <f>VLOOKUP(C16,'Neinstitucionalizirana prava'!$A$2:$F$10,2,0)</f>
        <v>Roditelj/staratelj osobe sa poteškoćama u razvoju (nesposobnost za samostalan život, nesposobnost za privređivanje) ima pravo na penziju.                                  Status roditelja njegovatelja priznaje se jednom od roditelja lica s invaliditetom sa 100% oštećenjem organizma i pravom na dodatak za njegu i pomoć od drugog lica.</v>
      </c>
      <c r="F16" s="160" t="str">
        <f>VLOOKUP(C16,'Neinstitucionalizirana prava'!$A$2:$F$10,4,0)</f>
        <v>Zakon o penzijskom i invalidskom osiguranju</v>
      </c>
      <c r="G16" s="160"/>
      <c r="H16" s="161"/>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E2EEA1A-D1DD-47ED-82EC-3374A1AD76BD}">
          <x14:formula1>
            <xm:f>Filter!$D:$D</xm:f>
          </x14:formula1>
          <xm:sqref>C12</xm:sqref>
        </x14:dataValidation>
        <x14:dataValidation type="list" allowBlank="1" showInputMessage="1" showErrorMessage="1" xr:uid="{0CD45A3F-6D50-458C-A911-DAB7AC014DF5}">
          <x14:formula1>
            <xm:f>Filter!$B$4</xm:f>
          </x14:formula1>
          <xm:sqref>C15</xm:sqref>
        </x14:dataValidation>
        <x14:dataValidation type="list" allowBlank="1" showInputMessage="1" showErrorMessage="1" xr:uid="{78171D16-042A-4381-8426-9E3A567F4601}">
          <x14:formula1>
            <xm:f>Filter!$F:$F</xm:f>
          </x14:formula1>
          <xm:sqref>C16</xm:sqref>
        </x14:dataValidation>
        <x14:dataValidation type="list" allowBlank="1" showInputMessage="1" showErrorMessage="1" xr:uid="{6C51189B-2587-496B-A469-23AD9739E355}">
          <x14:formula1>
            <xm:f>Filter!$E:$E</xm:f>
          </x14:formula1>
          <xm:sqref>C14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topLeftCell="B1" zoomScale="70" zoomScaleNormal="70" workbookViewId="0">
      <selection activeCell="E16" sqref="E16"/>
    </sheetView>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3" spans="2:8">
      <c r="B3"/>
    </row>
    <row r="11" spans="2:8" ht="15.75" thickBot="1"/>
    <row r="12" spans="2:8" ht="50.1" customHeight="1" thickTop="1" thickBot="1">
      <c r="B12" s="12" t="s">
        <v>96</v>
      </c>
      <c r="C12" s="16" t="s">
        <v>38</v>
      </c>
      <c r="E12" s="129" t="str">
        <f>VLOOKUP(C12,Table2[[Naziv ]:[Dodatne napomene]],2,0)</f>
        <v>Naknade troškova prijevoza učenika/ca s invaliditetom koji za potrebe odlaska i povratka na nastavni proces koriste javni linijski saobraćaj (mjesečni kupon za učenika/ca i pratioca).</v>
      </c>
      <c r="F12" s="127" t="str">
        <f>VLOOKUP(C12,Table2[[Naziv ]:[Dodatne napomene]],6,0)</f>
        <v>Prema općini prebivališta</v>
      </c>
      <c r="G12" s="127">
        <f>VLOOKUP(C12,Table2[[Naziv ]:[Dodatne napomene]],7,0)</f>
        <v>0</v>
      </c>
      <c r="H12" s="128" t="str">
        <f>VLOOKUP(C12,Table2[[Naziv ]:[Dodatne napomene]],9,0)</f>
        <v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v>
      </c>
    </row>
    <row r="13" spans="2:8" ht="16.5" thickTop="1" thickBot="1">
      <c r="B13" s="11"/>
      <c r="E13" s="130"/>
    </row>
    <row r="14" spans="2:8" ht="50.1" customHeight="1" thickTop="1" thickBot="1">
      <c r="B14" s="12" t="s">
        <v>98</v>
      </c>
      <c r="C14" s="16" t="s">
        <v>36</v>
      </c>
      <c r="E14" s="129" t="str">
        <f>VLOOKUP(C14,Table5[],2,0)</f>
        <v>Na Stomatološkom fakultetu u Sarajevu djeci s poteškoćama u razvoju pružaju se besplatne oralnohirurške i stomatološke usluge, ako je potrebno i pod općom anestezijom. .</v>
      </c>
      <c r="F14" s="127" t="str">
        <f>VLOOKUP(C14,Table5[],6,0)</f>
        <v>Stomatološki fakultet u Sarajevu</v>
      </c>
      <c r="G14" s="127" t="str">
        <f>VLOOKUP(C14,Table5[],7,0)</f>
        <v>Bolnička 4, Sarajevo</v>
      </c>
      <c r="H14" s="128">
        <f>VLOOKUP(C14,Table5[],9,0)</f>
        <v>38733214249</v>
      </c>
    </row>
    <row r="15" spans="2:8" ht="16.5" thickTop="1" thickBot="1">
      <c r="B15" s="11"/>
      <c r="E15" s="130"/>
    </row>
    <row r="16" spans="2:8" ht="50.1" customHeight="1" thickTop="1" thickBot="1">
      <c r="B16" s="12" t="s">
        <v>167</v>
      </c>
      <c r="C16" s="16" t="s">
        <v>470</v>
      </c>
      <c r="E16" s="129" t="str">
        <f>VLOOKUP(C16,'Neinstitucionalizirana prava'!$A$2:$F$10,2,0)</f>
        <v>Djeca i odrasle osobe koji su uključeni u specijalno školovanje imaju pravo na dnevni boravak u posebnim ustanovama ili smještaj u internatskim ustanovama ako to preporuči Stručna komisija ili Stručna institucija.</v>
      </c>
      <c r="F16" s="160" t="str">
        <f>VLOOKUP(C16,'Neinstitucionalizirana prava'!$A$2:$F$10,4,0)</f>
        <v>Zakon o socijalnoj zaštiti, zaštiti civilnih žrtava rata i zaštiti porodice sa djecom</v>
      </c>
      <c r="G16" s="160"/>
      <c r="H16" s="161"/>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7" sqref="C17"/>
    </sheetView>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3" spans="2:8">
      <c r="B3"/>
    </row>
    <row r="4" spans="2:8">
      <c r="B4"/>
    </row>
    <row r="11" spans="2:8" ht="15.75" thickBot="1"/>
    <row r="12" spans="2:8" ht="51.6" customHeight="1" thickTop="1" thickBot="1">
      <c r="B12" s="12" t="s">
        <v>96</v>
      </c>
      <c r="C12" s="16" t="s">
        <v>17</v>
      </c>
      <c r="E12" s="129" t="str">
        <f>VLOOKUP(C12,Table2[[Naziv ]:[Dodatne napomene]],2,0)</f>
        <v>Licima sa invaliditetom i grupe sa 100% tjelesnog oštećenja i licima sa invaliditetom II grupe sa 90% tjelesnog oštećenja i civilne žrtve rata omogućiti ostvarivanje prava na ličnu invalidninu, dodatak za njegu i pomoć od strane drugog lica i ortopedski dodatak.                                                                      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v>
      </c>
      <c r="F12" s="127" t="str">
        <f>VLOOKUP(C12,Table2[[Naziv ]:[Dodatne napomene]],6,0)</f>
        <v>Kantonalni centar za socijalni rad</v>
      </c>
      <c r="G12" s="127" t="str">
        <f>VLOOKUP(C12,Table2[[Naziv ]:[Dodatne napomene]],7,0)</f>
        <v>Gatačka 80, Sarajevo</v>
      </c>
      <c r="H12" s="128">
        <f>VLOOKUP(C12,Table2[[Naziv ]:[Dodatne napomene]],9,0)</f>
        <v>38733723635</v>
      </c>
    </row>
    <row r="13" spans="2:8" ht="16.5" thickTop="1" thickBot="1">
      <c r="B13" s="11"/>
      <c r="E13" s="130"/>
    </row>
    <row r="14" spans="2:8" ht="51.6" customHeight="1" thickTop="1" thickBot="1">
      <c r="B14" s="12" t="s">
        <v>98</v>
      </c>
      <c r="C14" s="16" t="s">
        <v>6</v>
      </c>
      <c r="E14" s="129" t="str">
        <f>VLOOKUP(C14,Table5[],2,0)</f>
        <v>Općina Ilidža: Općinski načelnik dodjeljuje jednokratnu novčanu pomoć osobama sa invaliditetom sa posebnim potrebama koje su u socijalnoj potrebi.</v>
      </c>
      <c r="F14" s="127" t="str">
        <f>VLOOKUP(C14,Table5[],6,0)</f>
        <v>Općina Ilidža</v>
      </c>
      <c r="G14" s="127" t="str">
        <f>VLOOKUP(C14,Table5[],7,0)</f>
        <v>Butmirska cesta 12, prvi sprat</v>
      </c>
      <c r="H14" s="128">
        <f>VLOOKUP(C14,Table5[],9,0)</f>
        <v>387733637384</v>
      </c>
    </row>
    <row r="15" spans="2:8" ht="16.5" thickTop="1" thickBot="1">
      <c r="B15" s="11"/>
      <c r="E15" s="130"/>
    </row>
    <row r="16" spans="2:8" ht="51.6" customHeight="1" thickTop="1" thickBot="1">
      <c r="B16" s="12" t="s">
        <v>167</v>
      </c>
      <c r="C16" s="16" t="s">
        <v>49</v>
      </c>
      <c r="E16" s="129" t="str">
        <f>VLOOKUP(C16,'Neinstitucionalizirana prava'!$A$2:$F$10,2,0)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60" t="str">
        <f>VLOOKUP(C16,'Neinstitucionalizirana prava'!$A$2:$F$10,4,0)</f>
        <v>Zakon o profesionalnoj rehabilitaciji, osposobljavanju i zapošljavanju osoba s invaliditetom Federacije BiH</v>
      </c>
      <c r="G16" s="160"/>
      <c r="H16" s="161"/>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12" zoomScale="70" zoomScaleNormal="70" workbookViewId="0">
      <selection activeCell="C6" sqref="C6"/>
    </sheetView>
  </sheetViews>
  <sheetFormatPr defaultColWidth="8.5703125" defaultRowHeight="15"/>
  <cols>
    <col min="1" max="1" width="8.5703125" style="10"/>
    <col min="2" max="2" width="33.42578125" style="10" customWidth="1"/>
    <col min="3" max="3" width="76" style="15" customWidth="1"/>
    <col min="4" max="4" width="3.5703125" style="10" customWidth="1"/>
    <col min="5" max="5" width="77.5703125" style="125" customWidth="1"/>
    <col min="6" max="8" width="14.85546875" style="125" customWidth="1"/>
    <col min="9" max="16384" width="8.5703125" style="10"/>
  </cols>
  <sheetData>
    <row r="2" spans="2:8">
      <c r="B2"/>
    </row>
    <row r="3" spans="2:8">
      <c r="B3"/>
    </row>
    <row r="4" spans="2:8">
      <c r="B4"/>
    </row>
    <row r="11" spans="2:8" ht="15.75" thickBot="1"/>
    <row r="12" spans="2:8" ht="51" customHeight="1" thickTop="1" thickBot="1">
      <c r="B12" s="12" t="s">
        <v>96</v>
      </c>
      <c r="C12" s="16" t="s">
        <v>70</v>
      </c>
      <c r="E12" s="129"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27" t="str">
        <f>VLOOKUP(C12,Table2[[Naziv ]:[Dodatne napomene]],6,0)</f>
        <v xml:space="preserve">Općina, nadležna općinska služba
Ministarstvo za rad, socijalnu politiku, raseljena lica i izbjeglice Kantona Sarajevo
</v>
      </c>
      <c r="G12" s="127">
        <f>VLOOKUP(C12,Table2[[Naziv ]:[Dodatne napomene]],7,0)</f>
        <v>0</v>
      </c>
      <c r="H12" s="128">
        <f>VLOOKUP(C12,Table2[[Naziv ]:[Dodatne napomene]],9,0)</f>
        <v>0</v>
      </c>
    </row>
    <row r="13" spans="2:8" ht="16.5" thickTop="1" thickBot="1">
      <c r="B13" s="11"/>
      <c r="E13" s="130"/>
    </row>
    <row r="14" spans="2:8" ht="51" customHeight="1" thickTop="1" thickBot="1">
      <c r="B14" s="12" t="s">
        <v>98</v>
      </c>
      <c r="C14" s="16" t="s">
        <v>361</v>
      </c>
      <c r="E14" s="129"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27" t="str">
        <f>VLOOKUP(C14,Table5[],6,0)</f>
        <v>Poreska uprava nadležne općine</v>
      </c>
      <c r="G14" s="127">
        <f>VLOOKUP(C14,Table5[],7,0)</f>
        <v>0</v>
      </c>
      <c r="H14" s="128">
        <f>VLOOKUP(C14,Table5[],9,0)</f>
        <v>0</v>
      </c>
    </row>
    <row r="15" spans="2:8" ht="16.5" thickTop="1" thickBot="1">
      <c r="B15" s="11"/>
      <c r="E15" s="130"/>
    </row>
    <row r="16" spans="2:8" ht="51" customHeight="1" thickTop="1" thickBot="1">
      <c r="B16" s="12" t="s">
        <v>167</v>
      </c>
      <c r="C16" s="16" t="s">
        <v>16</v>
      </c>
      <c r="E16" s="129" t="str">
        <f>VLOOKUP(C16,'Neinstitucionalizirana prava'!$A$2:$F$10,2,0)</f>
        <v>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v>
      </c>
      <c r="F16" s="160" t="str">
        <f>VLOOKUP(C16,'Neinstitucionalizirana prava'!$A$2:$F$10,4,0)</f>
        <v>Zakon o socijalnoj zaštiti, zaštiti civilnih žrtava rata i zaštiti porodice sa djecom</v>
      </c>
      <c r="G16" s="160"/>
      <c r="H16" s="161"/>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5546875" defaultRowHeight="15"/>
  <cols>
    <col min="2" max="2" width="27.5703125" bestFit="1" customWidth="1"/>
    <col min="4" max="4" width="46.85546875" customWidth="1"/>
  </cols>
  <sheetData>
    <row r="1" spans="1:21" s="2" customFormat="1" ht="16.5">
      <c r="B1" s="3"/>
      <c r="C1" s="3"/>
      <c r="D1" s="3"/>
      <c r="F1" s="4"/>
      <c r="G1" s="4"/>
      <c r="H1" s="4"/>
      <c r="I1" s="4"/>
      <c r="J1" s="4"/>
      <c r="K1" s="4"/>
      <c r="L1" s="4"/>
      <c r="M1" s="4"/>
      <c r="N1" s="4"/>
      <c r="O1" s="4"/>
      <c r="P1" s="4"/>
      <c r="Q1" s="4"/>
      <c r="R1" s="4"/>
      <c r="S1" s="4"/>
    </row>
    <row r="2" spans="1:21" s="2" customFormat="1" ht="50.45" customHeight="1">
      <c r="B2" s="3"/>
      <c r="C2" s="3"/>
      <c r="D2" s="3"/>
      <c r="E2" s="5"/>
      <c r="F2" s="5"/>
      <c r="G2" s="5"/>
      <c r="H2" s="5"/>
      <c r="I2" s="5"/>
      <c r="J2" s="5"/>
      <c r="K2" s="5"/>
      <c r="L2" s="5"/>
      <c r="M2" s="5"/>
      <c r="N2" s="5"/>
      <c r="O2" s="5"/>
      <c r="P2" s="5"/>
      <c r="Q2" s="5"/>
      <c r="R2" s="5"/>
      <c r="S2" s="5"/>
      <c r="T2" s="5"/>
      <c r="U2" s="5"/>
    </row>
    <row r="3" spans="1:21" s="2" customFormat="1" ht="50.45" customHeight="1">
      <c r="A3" s="163" t="s">
        <v>362</v>
      </c>
      <c r="B3" s="163"/>
      <c r="C3" s="163"/>
      <c r="D3" s="163"/>
      <c r="E3" s="163"/>
      <c r="F3" s="163"/>
      <c r="G3" s="163"/>
      <c r="H3" s="163"/>
      <c r="I3" s="6"/>
      <c r="J3" s="6"/>
      <c r="K3" s="6"/>
      <c r="L3" s="6"/>
      <c r="M3" s="6"/>
      <c r="N3" s="6"/>
      <c r="O3" s="6"/>
      <c r="P3" s="6"/>
      <c r="Q3" s="6"/>
      <c r="R3" s="6"/>
      <c r="S3" s="6"/>
      <c r="T3" s="6"/>
      <c r="U3" s="6"/>
    </row>
    <row r="4" spans="1:21" ht="14.25" customHeight="1"/>
    <row r="6" spans="1:21" ht="33.75" customHeight="1">
      <c r="B6" s="8" t="s">
        <v>0</v>
      </c>
      <c r="C6" s="170" t="s">
        <v>2</v>
      </c>
      <c r="D6" s="171"/>
    </row>
    <row r="7" spans="1:21" ht="31.5" customHeight="1">
      <c r="B7" s="8" t="s">
        <v>1</v>
      </c>
      <c r="C7" s="172" t="s">
        <v>4</v>
      </c>
      <c r="D7" s="172"/>
    </row>
    <row r="8" spans="1:21">
      <c r="B8" s="162" t="s">
        <v>74</v>
      </c>
      <c r="C8" s="164" t="e">
        <f>VLOOKUP(C7,All,3,0)</f>
        <v>#N/A</v>
      </c>
      <c r="D8" s="165"/>
    </row>
    <row r="9" spans="1:21" ht="78" customHeight="1">
      <c r="B9" s="162"/>
      <c r="C9" s="166"/>
      <c r="D9" s="167"/>
    </row>
    <row r="10" spans="1:21" ht="28.5" customHeight="1">
      <c r="B10" s="7" t="s">
        <v>363</v>
      </c>
      <c r="C10" s="168" t="e">
        <f>VLOOKUP($C$7,Usluge,6,0)</f>
        <v>#NAME?</v>
      </c>
      <c r="D10" s="169"/>
    </row>
    <row r="11" spans="1:21">
      <c r="B11" s="7" t="s">
        <v>77</v>
      </c>
      <c r="C11" s="168" t="e">
        <f>VLOOKUP($C$7,Usluge,7,0)</f>
        <v>#NAME?</v>
      </c>
      <c r="D11" s="169"/>
    </row>
    <row r="12" spans="1:21">
      <c r="B12" s="7" t="s">
        <v>78</v>
      </c>
      <c r="C12" s="168" t="e">
        <f>VLOOKUP($C$7,Usluge,8,0)</f>
        <v>#NAME?</v>
      </c>
      <c r="D12" s="169"/>
    </row>
    <row r="13" spans="1:21">
      <c r="B13" s="7" t="s">
        <v>79</v>
      </c>
      <c r="C13" s="168" t="e">
        <f>VLOOKUP($C$7,Usluge,9,0)</f>
        <v>#NAME?</v>
      </c>
      <c r="D13" s="169"/>
    </row>
    <row r="14" spans="1:21">
      <c r="B14" s="7" t="s">
        <v>80</v>
      </c>
      <c r="C14" s="168" t="e">
        <f>VLOOKUP($C$7,Usluge,10,0)</f>
        <v>#NAME?</v>
      </c>
      <c r="D14" s="169"/>
    </row>
    <row r="15" spans="1:21" ht="62.25" customHeight="1">
      <c r="B15" s="7" t="s">
        <v>82</v>
      </c>
      <c r="C15" s="164" t="e">
        <f>VLOOKUP($C$7,Usluge,11,0)</f>
        <v>#NAME?</v>
      </c>
      <c r="D15" s="165"/>
    </row>
    <row r="16" spans="1:21" ht="126" customHeight="1">
      <c r="B16" s="7" t="s">
        <v>83</v>
      </c>
      <c r="C16" s="164" t="e">
        <f>VLOOKUP($C$7,Usluge,12,0)</f>
        <v>#NAME?</v>
      </c>
      <c r="D16" s="165"/>
    </row>
    <row r="17" spans="2:4">
      <c r="B17" s="7" t="s">
        <v>84</v>
      </c>
      <c r="C17" s="168" t="e">
        <f>VLOOKUP($C$7,Usluge,13,0)</f>
        <v>#NAME?</v>
      </c>
      <c r="D17" s="169"/>
    </row>
    <row r="18" spans="2:4">
      <c r="B18" s="7" t="s">
        <v>85</v>
      </c>
      <c r="C18" s="173" t="e">
        <f>VLOOKUP($C$7,Usluge,15,0)</f>
        <v>#NAME?</v>
      </c>
      <c r="D18" s="173"/>
    </row>
  </sheetData>
  <mergeCells count="14">
    <mergeCell ref="C17:D17"/>
    <mergeCell ref="C18:D18"/>
    <mergeCell ref="C12:D12"/>
    <mergeCell ref="C13:D13"/>
    <mergeCell ref="C14:D14"/>
    <mergeCell ref="C15:D15"/>
    <mergeCell ref="C16:D16"/>
    <mergeCell ref="B8:B9"/>
    <mergeCell ref="A3:H3"/>
    <mergeCell ref="C8:D9"/>
    <mergeCell ref="C10:D10"/>
    <mergeCell ref="C11:D11"/>
    <mergeCell ref="C6:D6"/>
    <mergeCell ref="C7:D7"/>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0"/>
  <sheetViews>
    <sheetView showGridLines="0" zoomScale="70" zoomScaleNormal="70" workbookViewId="0">
      <pane ySplit="1" topLeftCell="A8" activePane="bottomLeft" state="frozen"/>
      <selection activeCell="B4" sqref="B4"/>
      <selection pane="bottomLeft" activeCell="F8" sqref="F8"/>
    </sheetView>
  </sheetViews>
  <sheetFormatPr defaultColWidth="8.85546875" defaultRowHeight="15"/>
  <cols>
    <col min="1" max="1" width="30.85546875" customWidth="1"/>
    <col min="2" max="2" width="40.42578125" customWidth="1"/>
    <col min="3" max="3" width="13.140625" customWidth="1"/>
    <col min="4" max="4" width="14" customWidth="1"/>
    <col min="5" max="5" width="37.42578125" customWidth="1"/>
    <col min="6" max="6" width="49" customWidth="1"/>
  </cols>
  <sheetData>
    <row r="1" spans="1:6" ht="24.95" customHeight="1">
      <c r="A1" s="108" t="s">
        <v>1</v>
      </c>
      <c r="B1" s="108" t="s">
        <v>74</v>
      </c>
      <c r="C1" s="109" t="s">
        <v>0</v>
      </c>
      <c r="D1" s="108" t="s">
        <v>81</v>
      </c>
      <c r="E1" s="108" t="s">
        <v>424</v>
      </c>
      <c r="F1" s="108" t="s">
        <v>78</v>
      </c>
    </row>
    <row r="2" spans="1:6" ht="84">
      <c r="A2" s="110" t="s">
        <v>470</v>
      </c>
      <c r="B2" s="110" t="s">
        <v>305</v>
      </c>
      <c r="C2" s="110" t="s">
        <v>51</v>
      </c>
      <c r="D2" s="110" t="s">
        <v>425</v>
      </c>
      <c r="E2" s="110" t="s">
        <v>306</v>
      </c>
      <c r="F2" s="84"/>
    </row>
    <row r="3" spans="1:6" ht="189">
      <c r="A3" s="110" t="s">
        <v>16</v>
      </c>
      <c r="B3" s="110" t="s">
        <v>195</v>
      </c>
      <c r="C3" s="111" t="s">
        <v>431</v>
      </c>
      <c r="D3" s="110" t="s">
        <v>425</v>
      </c>
      <c r="E3" s="110" t="s">
        <v>197</v>
      </c>
      <c r="F3" s="91" t="s">
        <v>314</v>
      </c>
    </row>
    <row r="4" spans="1:6" ht="336">
      <c r="A4" s="110" t="s">
        <v>535</v>
      </c>
      <c r="B4" s="110" t="s">
        <v>536</v>
      </c>
      <c r="C4" s="110" t="s">
        <v>531</v>
      </c>
      <c r="D4" s="110" t="s">
        <v>427</v>
      </c>
      <c r="E4" s="110" t="s">
        <v>166</v>
      </c>
    </row>
    <row r="5" spans="1:6" ht="189">
      <c r="A5" s="110" t="s">
        <v>57</v>
      </c>
      <c r="B5" s="110" t="s">
        <v>307</v>
      </c>
      <c r="C5" s="110" t="s">
        <v>51</v>
      </c>
      <c r="D5" s="110" t="s">
        <v>425</v>
      </c>
      <c r="E5" s="110" t="s">
        <v>308</v>
      </c>
      <c r="F5" s="110"/>
    </row>
    <row r="6" spans="1:6" ht="304.5">
      <c r="A6" s="110" t="s">
        <v>48</v>
      </c>
      <c r="B6" s="110" t="s">
        <v>476</v>
      </c>
      <c r="C6" s="110" t="s">
        <v>40</v>
      </c>
      <c r="D6" s="110" t="s">
        <v>428</v>
      </c>
      <c r="E6" s="110" t="s">
        <v>252</v>
      </c>
      <c r="F6" s="84"/>
    </row>
    <row r="7" spans="1:6" ht="273">
      <c r="A7" s="110" t="s">
        <v>58</v>
      </c>
      <c r="B7" s="110" t="s">
        <v>309</v>
      </c>
      <c r="C7" s="110" t="s">
        <v>51</v>
      </c>
      <c r="D7" s="110" t="s">
        <v>425</v>
      </c>
      <c r="E7" s="110" t="s">
        <v>310</v>
      </c>
      <c r="F7" s="84"/>
    </row>
    <row r="8" spans="1:6" ht="210">
      <c r="A8" s="110" t="s">
        <v>49</v>
      </c>
      <c r="B8" s="110" t="s">
        <v>253</v>
      </c>
      <c r="C8" s="110" t="s">
        <v>40</v>
      </c>
      <c r="D8" s="110" t="s">
        <v>429</v>
      </c>
      <c r="E8" s="110" t="s">
        <v>469</v>
      </c>
      <c r="F8" s="110"/>
    </row>
    <row r="9" spans="1:6" ht="105">
      <c r="A9" s="110" t="s">
        <v>480</v>
      </c>
      <c r="B9" s="110" t="s">
        <v>487</v>
      </c>
      <c r="C9" s="156" t="s">
        <v>531</v>
      </c>
      <c r="D9" s="110" t="s">
        <v>430</v>
      </c>
      <c r="E9" s="110" t="s">
        <v>200</v>
      </c>
      <c r="F9" s="110"/>
    </row>
    <row r="10" spans="1:6" ht="105">
      <c r="A10" s="111" t="s">
        <v>481</v>
      </c>
      <c r="B10" s="111" t="s">
        <v>489</v>
      </c>
      <c r="C10" s="111" t="s">
        <v>531</v>
      </c>
      <c r="D10" s="110" t="s">
        <v>430</v>
      </c>
      <c r="E10" s="110" t="s">
        <v>202</v>
      </c>
      <c r="F10" s="110"/>
    </row>
  </sheetData>
  <sortState xmlns:xlrd2="http://schemas.microsoft.com/office/spreadsheetml/2017/richdata2" ref="A2:F10">
    <sortCondition ref="A6:A10"/>
  </sortState>
  <conditionalFormatting sqref="A2:A10">
    <cfRule type="duplicateValues" dxfId="4"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S33"/>
  <sheetViews>
    <sheetView showGridLines="0" zoomScale="70" zoomScaleNormal="70" workbookViewId="0">
      <pane ySplit="1" topLeftCell="A33" activePane="bottomLeft" state="frozen"/>
      <selection activeCell="B4" sqref="B4"/>
      <selection pane="bottomLeft" activeCell="K35" sqref="K35"/>
    </sheetView>
  </sheetViews>
  <sheetFormatPr defaultColWidth="9.140625" defaultRowHeight="12.75"/>
  <cols>
    <col min="1" max="1" width="3.85546875" style="105" customWidth="1"/>
    <col min="2" max="2" width="21.42578125" style="106" bestFit="1" customWidth="1"/>
    <col min="3" max="3" width="45.5703125" style="105" customWidth="1"/>
    <col min="4" max="4" width="20.42578125" style="105" customWidth="1"/>
    <col min="5" max="5" width="11.42578125" style="105" hidden="1" customWidth="1"/>
    <col min="6" max="7" width="23" style="105" customWidth="1"/>
    <col min="8" max="8" width="15.42578125" style="105" customWidth="1"/>
    <col min="9" max="9" width="21.5703125" style="105" customWidth="1"/>
    <col min="10" max="10" width="21.140625" style="105" customWidth="1"/>
    <col min="11" max="11" width="16.5703125" style="105" customWidth="1"/>
    <col min="12" max="12" width="62.5703125" style="105" customWidth="1"/>
    <col min="13" max="13" width="48" style="105" customWidth="1"/>
    <col min="14" max="14" width="64.140625" style="105" customWidth="1"/>
    <col min="15" max="15" width="25.5703125" style="105" customWidth="1"/>
    <col min="16" max="16" width="16" style="107" hidden="1" customWidth="1"/>
    <col min="17" max="17" width="25.85546875" style="105" customWidth="1"/>
    <col min="18" max="16384" width="9.140625" style="105"/>
  </cols>
  <sheetData>
    <row r="1" spans="1:19" s="89" customFormat="1" ht="40.5" customHeight="1">
      <c r="A1" s="85" t="s">
        <v>73</v>
      </c>
      <c r="B1" s="86" t="s">
        <v>1</v>
      </c>
      <c r="C1" s="85" t="s">
        <v>74</v>
      </c>
      <c r="D1" s="85" t="s">
        <v>0</v>
      </c>
      <c r="E1" s="85" t="s">
        <v>364</v>
      </c>
      <c r="F1" s="87" t="s">
        <v>75</v>
      </c>
      <c r="G1" s="85" t="s">
        <v>365</v>
      </c>
      <c r="H1" s="85" t="s">
        <v>77</v>
      </c>
      <c r="I1" s="85" t="s">
        <v>78</v>
      </c>
      <c r="J1" s="85" t="s">
        <v>79</v>
      </c>
      <c r="K1" s="85" t="s">
        <v>80</v>
      </c>
      <c r="L1" s="85" t="s">
        <v>81</v>
      </c>
      <c r="M1" s="85" t="s">
        <v>82</v>
      </c>
      <c r="N1" s="85" t="s">
        <v>83</v>
      </c>
      <c r="O1" s="85" t="s">
        <v>84</v>
      </c>
      <c r="P1" s="88" t="s">
        <v>366</v>
      </c>
      <c r="Q1" s="85" t="s">
        <v>85</v>
      </c>
      <c r="R1" s="151" t="s">
        <v>558</v>
      </c>
      <c r="S1" s="151" t="s">
        <v>559</v>
      </c>
    </row>
    <row r="2" spans="1:19" s="93" customFormat="1" ht="114.75">
      <c r="A2" s="90">
        <v>1</v>
      </c>
      <c r="B2" s="90" t="s">
        <v>68</v>
      </c>
      <c r="C2" s="90" t="s">
        <v>311</v>
      </c>
      <c r="D2" s="90" t="s">
        <v>60</v>
      </c>
      <c r="E2" s="90" t="s">
        <v>367</v>
      </c>
      <c r="F2" s="90" t="s">
        <v>110</v>
      </c>
      <c r="G2" s="90" t="s">
        <v>312</v>
      </c>
      <c r="H2" s="90" t="s">
        <v>313</v>
      </c>
      <c r="I2" s="91" t="s">
        <v>314</v>
      </c>
      <c r="J2" s="90">
        <v>38733777260</v>
      </c>
      <c r="K2" s="91" t="s">
        <v>315</v>
      </c>
      <c r="L2" s="90" t="s">
        <v>316</v>
      </c>
      <c r="M2" s="90" t="s">
        <v>317</v>
      </c>
      <c r="N2" s="90" t="s">
        <v>368</v>
      </c>
      <c r="O2" s="90"/>
      <c r="P2" s="92" t="s">
        <v>369</v>
      </c>
      <c r="Q2" s="90"/>
      <c r="R2" s="93">
        <f>IFERROR(VLOOKUP(Table2[[#This Row],[Adresa]],Sheet1!$A$1:$C$50,2,0),0)</f>
        <v>43.833867749999897</v>
      </c>
      <c r="S2" s="93">
        <f>IFERROR(VLOOKUP(Table2[[#This Row],[Adresa]],Sheet1!$A$1:$C$50,3,0),0)</f>
        <v>18.3318392646853</v>
      </c>
    </row>
    <row r="3" spans="1:19" s="93" customFormat="1" ht="318.75">
      <c r="A3" s="90">
        <v>3</v>
      </c>
      <c r="B3" s="90" t="s">
        <v>521</v>
      </c>
      <c r="C3" s="90" t="s">
        <v>255</v>
      </c>
      <c r="D3" s="131" t="s">
        <v>464</v>
      </c>
      <c r="E3" s="90"/>
      <c r="F3" s="90" t="s">
        <v>271</v>
      </c>
      <c r="G3" s="90" t="s">
        <v>510</v>
      </c>
      <c r="H3" s="90" t="s">
        <v>257</v>
      </c>
      <c r="I3" s="91" t="s">
        <v>258</v>
      </c>
      <c r="J3" s="90">
        <v>38733226445</v>
      </c>
      <c r="K3" s="90"/>
      <c r="L3" s="90" t="s">
        <v>259</v>
      </c>
      <c r="M3" s="90" t="s">
        <v>260</v>
      </c>
      <c r="N3" s="90" t="s">
        <v>261</v>
      </c>
      <c r="O3" s="91" t="s">
        <v>262</v>
      </c>
      <c r="P3" s="92" t="s">
        <v>371</v>
      </c>
      <c r="Q3" s="91" t="s">
        <v>258</v>
      </c>
      <c r="R3" s="93">
        <f>IFERROR(VLOOKUP(Table2[[#This Row],[Adresa]],Sheet1!$A$1:$C$50,2,0),0)</f>
        <v>43.857481149999998</v>
      </c>
      <c r="S3" s="93">
        <f>IFERROR(VLOOKUP(Table2[[#This Row],[Adresa]],Sheet1!$A$1:$C$50,3,0),0)</f>
        <v>18.416157265859901</v>
      </c>
    </row>
    <row r="4" spans="1:19" s="93" customFormat="1" ht="178.5">
      <c r="A4" s="90">
        <v>4</v>
      </c>
      <c r="B4" s="94" t="s">
        <v>5</v>
      </c>
      <c r="C4" s="94" t="s">
        <v>372</v>
      </c>
      <c r="D4" s="131" t="s">
        <v>532</v>
      </c>
      <c r="E4" s="94" t="s">
        <v>374</v>
      </c>
      <c r="F4" s="94" t="s">
        <v>110</v>
      </c>
      <c r="G4" s="94" t="s">
        <v>125</v>
      </c>
      <c r="H4" s="94" t="s">
        <v>126</v>
      </c>
      <c r="I4" s="95" t="s">
        <v>127</v>
      </c>
      <c r="J4" s="90">
        <v>38733492125</v>
      </c>
      <c r="K4" s="96" t="s">
        <v>128</v>
      </c>
      <c r="L4" s="94" t="s">
        <v>129</v>
      </c>
      <c r="M4" s="94" t="s">
        <v>130</v>
      </c>
      <c r="N4" s="94" t="s">
        <v>375</v>
      </c>
      <c r="O4" s="96" t="s">
        <v>132</v>
      </c>
      <c r="P4" s="97" t="s">
        <v>376</v>
      </c>
      <c r="Q4" s="94" t="s">
        <v>133</v>
      </c>
      <c r="R4" s="93">
        <f>IFERROR(VLOOKUP(Table2[[#This Row],[Adresa]],Sheet1!$A$1:$C$50,2,0),0)</f>
        <v>43.851796999999998</v>
      </c>
      <c r="S4" s="93">
        <f>IFERROR(VLOOKUP(Table2[[#This Row],[Adresa]],Sheet1!$A$1:$C$50,3,0),0)</f>
        <v>18.3827719453942</v>
      </c>
    </row>
    <row r="5" spans="1:19" s="93" customFormat="1" ht="216" customHeight="1">
      <c r="A5" s="90">
        <v>5</v>
      </c>
      <c r="B5" s="90" t="s">
        <v>69</v>
      </c>
      <c r="C5" s="90" t="s">
        <v>319</v>
      </c>
      <c r="D5" s="90" t="s">
        <v>60</v>
      </c>
      <c r="E5" s="90"/>
      <c r="F5" s="90" t="s">
        <v>110</v>
      </c>
      <c r="G5" s="90" t="s">
        <v>312</v>
      </c>
      <c r="H5" s="90" t="s">
        <v>265</v>
      </c>
      <c r="I5" s="90" t="s">
        <v>377</v>
      </c>
      <c r="J5" s="90" t="s">
        <v>378</v>
      </c>
      <c r="K5" s="174" t="s">
        <v>145</v>
      </c>
      <c r="L5" s="90" t="s">
        <v>320</v>
      </c>
      <c r="M5" s="113" t="s">
        <v>379</v>
      </c>
      <c r="N5" s="113" t="s">
        <v>380</v>
      </c>
      <c r="O5" s="74" t="s">
        <v>381</v>
      </c>
      <c r="P5" s="92"/>
      <c r="Q5" s="90" t="s">
        <v>321</v>
      </c>
      <c r="R5" s="93">
        <f>IFERROR(VLOOKUP(Table2[[#This Row],[Adresa]],Sheet1!$A$1:$C$50,2,0),0)</f>
        <v>43.857349450000001</v>
      </c>
      <c r="S5" s="93">
        <f>IFERROR(VLOOKUP(Table2[[#This Row],[Adresa]],Sheet1!$A$1:$C$50,3,0),0)</f>
        <v>18.413135847170199</v>
      </c>
    </row>
    <row r="6" spans="1:19" s="93" customFormat="1" ht="178.5">
      <c r="A6" s="90">
        <v>6</v>
      </c>
      <c r="B6" s="90" t="s">
        <v>62</v>
      </c>
      <c r="C6" s="90" t="s">
        <v>322</v>
      </c>
      <c r="D6" s="90" t="s">
        <v>60</v>
      </c>
      <c r="E6" s="90" t="s">
        <v>382</v>
      </c>
      <c r="F6" s="90" t="s">
        <v>110</v>
      </c>
      <c r="G6" s="90" t="s">
        <v>284</v>
      </c>
      <c r="H6" s="90" t="s">
        <v>285</v>
      </c>
      <c r="I6" s="98" t="s">
        <v>323</v>
      </c>
      <c r="J6" s="90">
        <v>38733562379</v>
      </c>
      <c r="K6" s="90" t="s">
        <v>332</v>
      </c>
      <c r="L6" s="90"/>
      <c r="M6" s="90" t="s">
        <v>511</v>
      </c>
      <c r="N6" s="90" t="s">
        <v>512</v>
      </c>
      <c r="O6" s="91" t="s">
        <v>327</v>
      </c>
      <c r="P6" s="92"/>
      <c r="Q6" s="90" t="s">
        <v>328</v>
      </c>
      <c r="R6" s="93">
        <f>IFERROR(VLOOKUP(Table2[[#This Row],[Adresa]],Sheet1!$A$1:$C$50,2,0),0)</f>
        <v>43.857201400000001</v>
      </c>
      <c r="S6" s="93">
        <f>IFERROR(VLOOKUP(Table2[[#This Row],[Adresa]],Sheet1!$A$1:$C$50,3,0),0)</f>
        <v>18.413743400000001</v>
      </c>
    </row>
    <row r="7" spans="1:19" s="93" customFormat="1" ht="132" customHeight="1">
      <c r="A7" s="90">
        <v>7</v>
      </c>
      <c r="B7" s="131" t="s">
        <v>468</v>
      </c>
      <c r="C7" s="131" t="s">
        <v>465</v>
      </c>
      <c r="D7" s="90" t="s">
        <v>532</v>
      </c>
      <c r="E7" s="99" t="s">
        <v>374</v>
      </c>
      <c r="F7" s="99" t="s">
        <v>88</v>
      </c>
      <c r="G7" s="99" t="s">
        <v>135</v>
      </c>
      <c r="H7" s="99" t="s">
        <v>90</v>
      </c>
      <c r="I7" s="100" t="s">
        <v>91</v>
      </c>
      <c r="J7" s="90">
        <v>38733725207</v>
      </c>
      <c r="K7" s="100" t="s">
        <v>92</v>
      </c>
      <c r="L7" s="131" t="s">
        <v>136</v>
      </c>
      <c r="M7" s="99" t="s">
        <v>137</v>
      </c>
      <c r="N7" s="99" t="s">
        <v>95</v>
      </c>
      <c r="O7" s="99" t="s">
        <v>95</v>
      </c>
      <c r="P7" s="99" t="s">
        <v>95</v>
      </c>
      <c r="Q7" s="99" t="s">
        <v>95</v>
      </c>
      <c r="R7" s="93">
        <f>IFERROR(VLOOKUP(Table2[[#This Row],[Adresa]],Sheet1!$A$1:$C$50,2,0),0)</f>
        <v>43.85633</v>
      </c>
      <c r="S7" s="93">
        <f>IFERROR(VLOOKUP(Table2[[#This Row],[Adresa]],Sheet1!$A$1:$C$50,3,0),0)</f>
        <v>18.384492399999999</v>
      </c>
    </row>
    <row r="8" spans="1:19" s="93" customFormat="1" ht="105">
      <c r="A8" s="90">
        <v>8</v>
      </c>
      <c r="B8" s="90" t="s">
        <v>9</v>
      </c>
      <c r="C8" s="99" t="s">
        <v>138</v>
      </c>
      <c r="D8" s="90" t="s">
        <v>532</v>
      </c>
      <c r="E8" s="99" t="s">
        <v>374</v>
      </c>
      <c r="F8" s="99" t="s">
        <v>88</v>
      </c>
      <c r="G8" s="99" t="s">
        <v>89</v>
      </c>
      <c r="H8" s="99" t="s">
        <v>90</v>
      </c>
      <c r="I8" s="100" t="s">
        <v>91</v>
      </c>
      <c r="J8" s="90">
        <v>38733725207</v>
      </c>
      <c r="K8" s="100" t="s">
        <v>92</v>
      </c>
      <c r="L8" s="99" t="s">
        <v>139</v>
      </c>
      <c r="M8" s="99" t="s">
        <v>140</v>
      </c>
      <c r="N8" s="114" t="s">
        <v>383</v>
      </c>
      <c r="O8" s="115" t="s">
        <v>384</v>
      </c>
      <c r="P8" s="99" t="s">
        <v>95</v>
      </c>
      <c r="Q8" s="99" t="s">
        <v>95</v>
      </c>
      <c r="R8" s="93">
        <f>IFERROR(VLOOKUP(Table2[[#This Row],[Adresa]],Sheet1!$A$1:$C$50,2,0),0)</f>
        <v>43.85633</v>
      </c>
      <c r="S8" s="93">
        <f>IFERROR(VLOOKUP(Table2[[#This Row],[Adresa]],Sheet1!$A$1:$C$50,3,0),0)</f>
        <v>18.384492399999999</v>
      </c>
    </row>
    <row r="9" spans="1:19" s="93" customFormat="1" ht="409.5">
      <c r="A9" s="90">
        <v>9</v>
      </c>
      <c r="B9" s="131" t="s">
        <v>467</v>
      </c>
      <c r="C9" s="131" t="s">
        <v>513</v>
      </c>
      <c r="D9" s="90" t="s">
        <v>532</v>
      </c>
      <c r="E9" s="99" t="s">
        <v>374</v>
      </c>
      <c r="F9" s="99" t="s">
        <v>88</v>
      </c>
      <c r="G9" s="99" t="s">
        <v>89</v>
      </c>
      <c r="H9" s="99" t="s">
        <v>90</v>
      </c>
      <c r="I9" s="100" t="s">
        <v>91</v>
      </c>
      <c r="J9" s="90">
        <v>38733725207</v>
      </c>
      <c r="K9" s="100" t="s">
        <v>92</v>
      </c>
      <c r="L9" s="101" t="s">
        <v>142</v>
      </c>
      <c r="M9" s="99" t="s">
        <v>143</v>
      </c>
      <c r="N9" s="114" t="s">
        <v>385</v>
      </c>
      <c r="O9" s="115" t="s">
        <v>386</v>
      </c>
      <c r="P9" s="99" t="s">
        <v>95</v>
      </c>
      <c r="Q9" s="99" t="s">
        <v>514</v>
      </c>
      <c r="R9" s="93">
        <f>IFERROR(VLOOKUP(Table2[[#This Row],[Adresa]],Sheet1!$A$1:$C$50,2,0),0)</f>
        <v>43.85633</v>
      </c>
      <c r="S9" s="93">
        <f>IFERROR(VLOOKUP(Table2[[#This Row],[Adresa]],Sheet1!$A$1:$C$50,3,0),0)</f>
        <v>18.384492399999999</v>
      </c>
    </row>
    <row r="10" spans="1:19" s="93" customFormat="1" ht="76.5">
      <c r="A10" s="90">
        <v>10</v>
      </c>
      <c r="B10" s="90" t="s">
        <v>42</v>
      </c>
      <c r="C10" s="90" t="s">
        <v>557</v>
      </c>
      <c r="D10" s="90" t="s">
        <v>464</v>
      </c>
      <c r="E10" s="90" t="s">
        <v>374</v>
      </c>
      <c r="F10" s="90" t="s">
        <v>88</v>
      </c>
      <c r="G10" s="90" t="s">
        <v>264</v>
      </c>
      <c r="H10" s="90" t="s">
        <v>265</v>
      </c>
      <c r="I10" s="91" t="s">
        <v>266</v>
      </c>
      <c r="J10" s="90">
        <v>38733562027</v>
      </c>
      <c r="K10" s="91" t="s">
        <v>267</v>
      </c>
      <c r="L10" s="90" t="s">
        <v>268</v>
      </c>
      <c r="M10" s="90"/>
      <c r="N10" s="91" t="s">
        <v>269</v>
      </c>
      <c r="O10" s="91" t="s">
        <v>269</v>
      </c>
      <c r="P10" s="92"/>
      <c r="Q10" s="90"/>
      <c r="R10" s="93">
        <f>IFERROR(VLOOKUP(Table2[[#This Row],[Adresa]],Sheet1!$A$1:$C$50,2,0),0)</f>
        <v>43.857349450000001</v>
      </c>
      <c r="S10" s="93">
        <f>IFERROR(VLOOKUP(Table2[[#This Row],[Adresa]],Sheet1!$A$1:$C$50,3,0),0)</f>
        <v>18.413135847170199</v>
      </c>
    </row>
    <row r="11" spans="1:19" s="93" customFormat="1" ht="114.75">
      <c r="A11" s="90">
        <v>11</v>
      </c>
      <c r="B11" s="90" t="s">
        <v>34</v>
      </c>
      <c r="C11" s="131" t="s">
        <v>208</v>
      </c>
      <c r="D11" s="131" t="s">
        <v>466</v>
      </c>
      <c r="E11" s="99" t="s">
        <v>388</v>
      </c>
      <c r="F11" s="99" t="s">
        <v>88</v>
      </c>
      <c r="G11" s="99" t="s">
        <v>89</v>
      </c>
      <c r="H11" s="99" t="s">
        <v>90</v>
      </c>
      <c r="I11" s="100" t="s">
        <v>91</v>
      </c>
      <c r="J11" s="90">
        <v>38733725207</v>
      </c>
      <c r="K11" s="100" t="s">
        <v>92</v>
      </c>
      <c r="L11" s="99" t="s">
        <v>209</v>
      </c>
      <c r="M11" s="99" t="s">
        <v>210</v>
      </c>
      <c r="N11" s="114" t="s">
        <v>389</v>
      </c>
      <c r="O11" s="115" t="s">
        <v>390</v>
      </c>
      <c r="P11" s="99" t="s">
        <v>95</v>
      </c>
      <c r="Q11" s="99" t="s">
        <v>95</v>
      </c>
      <c r="R11" s="93">
        <f>IFERROR(VLOOKUP(Table2[[#This Row],[Adresa]],Sheet1!$A$1:$C$50,2,0),0)</f>
        <v>43.85633</v>
      </c>
      <c r="S11" s="93">
        <f>IFERROR(VLOOKUP(Table2[[#This Row],[Adresa]],Sheet1!$A$1:$C$50,3,0),0)</f>
        <v>18.384492399999999</v>
      </c>
    </row>
    <row r="12" spans="1:19" s="93" customFormat="1" ht="204">
      <c r="A12" s="90">
        <v>12</v>
      </c>
      <c r="B12" s="90" t="s">
        <v>35</v>
      </c>
      <c r="C12" s="90" t="s">
        <v>211</v>
      </c>
      <c r="D12" s="131" t="s">
        <v>466</v>
      </c>
      <c r="E12" s="90" t="s">
        <v>391</v>
      </c>
      <c r="F12" s="90" t="s">
        <v>88</v>
      </c>
      <c r="G12" s="90" t="s">
        <v>212</v>
      </c>
      <c r="H12" s="90" t="s">
        <v>213</v>
      </c>
      <c r="I12" s="91" t="s">
        <v>214</v>
      </c>
      <c r="J12" s="90">
        <v>38733291190</v>
      </c>
      <c r="K12" s="90" t="s">
        <v>215</v>
      </c>
      <c r="L12" s="90" t="s">
        <v>216</v>
      </c>
      <c r="M12" s="90" t="s">
        <v>217</v>
      </c>
      <c r="N12" s="90" t="s">
        <v>218</v>
      </c>
      <c r="O12" s="90" t="s">
        <v>219</v>
      </c>
      <c r="P12" s="92"/>
      <c r="Q12" s="90" t="s">
        <v>220</v>
      </c>
      <c r="R12" s="93">
        <f>IFERROR(VLOOKUP(Table2[[#This Row],[Adresa]],Sheet1!$A$1:$C$50,2,0),0)</f>
        <v>43.84666275</v>
      </c>
      <c r="S12" s="93">
        <f>IFERROR(VLOOKUP(Table2[[#This Row],[Adresa]],Sheet1!$A$1:$C$50,3,0),0)</f>
        <v>18.354620012764201</v>
      </c>
    </row>
    <row r="13" spans="1:19" s="93" customFormat="1" ht="63.75">
      <c r="A13" s="90">
        <v>13</v>
      </c>
      <c r="B13" s="90" t="s">
        <v>11</v>
      </c>
      <c r="C13" s="90" t="s">
        <v>109</v>
      </c>
      <c r="D13" s="131" t="s">
        <v>466</v>
      </c>
      <c r="E13" s="90" t="s">
        <v>391</v>
      </c>
      <c r="F13" s="90" t="s">
        <v>110</v>
      </c>
      <c r="G13" s="90" t="s">
        <v>111</v>
      </c>
      <c r="H13" s="90" t="s">
        <v>112</v>
      </c>
      <c r="I13" s="91" t="s">
        <v>113</v>
      </c>
      <c r="J13" s="90">
        <v>38733723640</v>
      </c>
      <c r="K13" s="91" t="s">
        <v>114</v>
      </c>
      <c r="L13" s="90" t="s">
        <v>115</v>
      </c>
      <c r="M13" s="90"/>
      <c r="N13" s="91" t="s">
        <v>116</v>
      </c>
      <c r="O13" s="91" t="s">
        <v>116</v>
      </c>
      <c r="P13" s="92"/>
      <c r="Q13" s="90"/>
      <c r="R13" s="93">
        <f>IFERROR(VLOOKUP(Table2[[#This Row],[Adresa]],Sheet1!$A$1:$C$50,2,0),0)</f>
        <v>43.843953499999998</v>
      </c>
      <c r="S13" s="93">
        <f>IFERROR(VLOOKUP(Table2[[#This Row],[Adresa]],Sheet1!$A$1:$C$50,3,0),0)</f>
        <v>18.358142300000001</v>
      </c>
    </row>
    <row r="14" spans="1:19" s="93" customFormat="1" ht="76.5">
      <c r="A14" s="90">
        <v>14</v>
      </c>
      <c r="B14" s="90" t="s">
        <v>53</v>
      </c>
      <c r="C14" s="90" t="s">
        <v>281</v>
      </c>
      <c r="D14" s="90" t="s">
        <v>51</v>
      </c>
      <c r="E14" s="90" t="s">
        <v>391</v>
      </c>
      <c r="F14" s="90" t="s">
        <v>110</v>
      </c>
      <c r="G14" s="90" t="s">
        <v>111</v>
      </c>
      <c r="H14" s="90" t="s">
        <v>112</v>
      </c>
      <c r="I14" s="91" t="s">
        <v>113</v>
      </c>
      <c r="J14" s="90">
        <v>38733723635</v>
      </c>
      <c r="K14" s="91" t="s">
        <v>145</v>
      </c>
      <c r="L14" s="90" t="s">
        <v>146</v>
      </c>
      <c r="M14" s="90"/>
      <c r="N14" s="91" t="s">
        <v>282</v>
      </c>
      <c r="O14" s="91" t="s">
        <v>282</v>
      </c>
      <c r="P14" s="92"/>
      <c r="Q14" s="90"/>
      <c r="R14" s="93">
        <f>IFERROR(VLOOKUP(Table2[[#This Row],[Adresa]],Sheet1!$A$1:$C$50,2,0),0)</f>
        <v>43.843953499999998</v>
      </c>
      <c r="S14" s="93">
        <f>IFERROR(VLOOKUP(Table2[[#This Row],[Adresa]],Sheet1!$A$1:$C$50,3,0),0)</f>
        <v>18.358142300000001</v>
      </c>
    </row>
    <row r="15" spans="1:19" s="93" customFormat="1" ht="229.5">
      <c r="A15" s="90">
        <v>15</v>
      </c>
      <c r="B15" s="90" t="s">
        <v>17</v>
      </c>
      <c r="C15" s="90" t="s">
        <v>549</v>
      </c>
      <c r="D15" s="90" t="s">
        <v>532</v>
      </c>
      <c r="E15" s="90" t="s">
        <v>374</v>
      </c>
      <c r="F15" s="90" t="s">
        <v>110</v>
      </c>
      <c r="G15" s="90" t="s">
        <v>111</v>
      </c>
      <c r="H15" s="90" t="s">
        <v>112</v>
      </c>
      <c r="I15" s="91" t="s">
        <v>113</v>
      </c>
      <c r="J15" s="90">
        <v>38733723635</v>
      </c>
      <c r="K15" s="91" t="s">
        <v>145</v>
      </c>
      <c r="L15" s="90" t="s">
        <v>146</v>
      </c>
      <c r="M15" s="90" t="s">
        <v>147</v>
      </c>
      <c r="N15" s="91" t="s">
        <v>148</v>
      </c>
      <c r="O15" s="91" t="s">
        <v>148</v>
      </c>
      <c r="P15" s="92">
        <v>60</v>
      </c>
      <c r="Q15" s="90"/>
      <c r="R15" s="93">
        <f>IFERROR(VLOOKUP(Table2[[#This Row],[Adresa]],Sheet1!$A$1:$C$50,2,0),0)</f>
        <v>43.843953499999998</v>
      </c>
      <c r="S15" s="93">
        <f>IFERROR(VLOOKUP(Table2[[#This Row],[Adresa]],Sheet1!$A$1:$C$50,3,0),0)</f>
        <v>18.358142300000001</v>
      </c>
    </row>
    <row r="16" spans="1:19" s="93" customFormat="1" ht="96" customHeight="1">
      <c r="A16" s="90">
        <v>16</v>
      </c>
      <c r="B16" s="99" t="s">
        <v>63</v>
      </c>
      <c r="C16" s="99" t="s">
        <v>329</v>
      </c>
      <c r="D16" s="99" t="s">
        <v>60</v>
      </c>
      <c r="E16" s="92" t="s">
        <v>367</v>
      </c>
      <c r="F16" s="90" t="s">
        <v>110</v>
      </c>
      <c r="G16" s="90" t="s">
        <v>393</v>
      </c>
      <c r="H16" s="90" t="s">
        <v>112</v>
      </c>
      <c r="I16" s="91" t="s">
        <v>113</v>
      </c>
      <c r="J16" s="90">
        <v>38733723635</v>
      </c>
      <c r="K16" s="91" t="s">
        <v>145</v>
      </c>
      <c r="L16" s="99" t="s">
        <v>146</v>
      </c>
      <c r="M16" s="90" t="s">
        <v>330</v>
      </c>
      <c r="N16" s="91" t="s">
        <v>331</v>
      </c>
      <c r="O16" s="91" t="s">
        <v>331</v>
      </c>
      <c r="P16" s="92">
        <v>60</v>
      </c>
      <c r="Q16" s="90"/>
      <c r="R16" s="93">
        <f>IFERROR(VLOOKUP(Table2[[#This Row],[Adresa]],Sheet1!$A$1:$C$50,2,0),0)</f>
        <v>43.843953499999998</v>
      </c>
      <c r="S16" s="93">
        <f>IFERROR(VLOOKUP(Table2[[#This Row],[Adresa]],Sheet1!$A$1:$C$50,3,0),0)</f>
        <v>18.358142300000001</v>
      </c>
    </row>
    <row r="17" spans="1:19" s="93" customFormat="1" ht="140.25">
      <c r="A17" s="90">
        <v>17</v>
      </c>
      <c r="B17" s="90" t="s">
        <v>46</v>
      </c>
      <c r="C17" s="90" t="s">
        <v>236</v>
      </c>
      <c r="D17" s="90" t="s">
        <v>40</v>
      </c>
      <c r="E17" s="90" t="s">
        <v>374</v>
      </c>
      <c r="F17" s="90" t="s">
        <v>110</v>
      </c>
      <c r="G17" s="90" t="s">
        <v>393</v>
      </c>
      <c r="H17" s="90" t="s">
        <v>112</v>
      </c>
      <c r="I17" s="91" t="s">
        <v>113</v>
      </c>
      <c r="J17" s="90">
        <v>38733723635</v>
      </c>
      <c r="K17" s="91" t="s">
        <v>145</v>
      </c>
      <c r="L17" s="90" t="s">
        <v>237</v>
      </c>
      <c r="M17" s="90" t="s">
        <v>238</v>
      </c>
      <c r="N17" s="102" t="s">
        <v>239</v>
      </c>
      <c r="O17" s="91" t="s">
        <v>240</v>
      </c>
      <c r="P17" s="92">
        <v>60</v>
      </c>
      <c r="Q17" s="90"/>
      <c r="R17" s="93">
        <f>IFERROR(VLOOKUP(Table2[[#This Row],[Adresa]],Sheet1!$A$1:$C$50,2,0),0)</f>
        <v>43.843953499999998</v>
      </c>
      <c r="S17" s="93">
        <f>IFERROR(VLOOKUP(Table2[[#This Row],[Adresa]],Sheet1!$A$1:$C$50,3,0),0)</f>
        <v>18.358142300000001</v>
      </c>
    </row>
    <row r="18" spans="1:19" s="93" customFormat="1" ht="280.5">
      <c r="A18" s="90">
        <v>18</v>
      </c>
      <c r="B18" s="90" t="s">
        <v>47</v>
      </c>
      <c r="C18" s="90" t="s">
        <v>241</v>
      </c>
      <c r="D18" s="90" t="s">
        <v>40</v>
      </c>
      <c r="E18" s="90" t="s">
        <v>374</v>
      </c>
      <c r="F18" s="90" t="s">
        <v>222</v>
      </c>
      <c r="G18" s="90" t="s">
        <v>242</v>
      </c>
      <c r="H18" s="90" t="s">
        <v>243</v>
      </c>
      <c r="I18" s="91" t="s">
        <v>244</v>
      </c>
      <c r="J18" s="90">
        <v>38733717740</v>
      </c>
      <c r="K18" s="91" t="s">
        <v>245</v>
      </c>
      <c r="L18" s="90" t="s">
        <v>246</v>
      </c>
      <c r="M18" s="90" t="s">
        <v>247</v>
      </c>
      <c r="N18" s="90" t="s">
        <v>248</v>
      </c>
      <c r="O18" s="91" t="s">
        <v>249</v>
      </c>
      <c r="P18" s="92"/>
      <c r="Q18" s="90" t="s">
        <v>250</v>
      </c>
      <c r="R18" s="93">
        <f>IFERROR(VLOOKUP(Table2[[#This Row],[Adresa]],Sheet1!$A$1:$C$50,2,0),0)</f>
        <v>43.85358815</v>
      </c>
      <c r="S18" s="93">
        <f>IFERROR(VLOOKUP(Table2[[#This Row],[Adresa]],Sheet1!$A$1:$C$50,3,0),0)</f>
        <v>18.394800338932299</v>
      </c>
    </row>
    <row r="19" spans="1:19" s="93" customFormat="1" ht="178.5">
      <c r="A19" s="90">
        <v>19</v>
      </c>
      <c r="B19" s="90" t="s">
        <v>20</v>
      </c>
      <c r="C19" s="90" t="s">
        <v>149</v>
      </c>
      <c r="D19" s="90" t="s">
        <v>532</v>
      </c>
      <c r="E19" s="90" t="s">
        <v>374</v>
      </c>
      <c r="F19" s="90" t="s">
        <v>110</v>
      </c>
      <c r="G19" s="90" t="s">
        <v>111</v>
      </c>
      <c r="H19" s="90" t="s">
        <v>112</v>
      </c>
      <c r="I19" s="91" t="s">
        <v>113</v>
      </c>
      <c r="J19" s="90">
        <v>38733723635</v>
      </c>
      <c r="K19" s="91" t="s">
        <v>145</v>
      </c>
      <c r="L19" s="90" t="s">
        <v>146</v>
      </c>
      <c r="M19" s="90" t="s">
        <v>150</v>
      </c>
      <c r="N19" s="91" t="s">
        <v>151</v>
      </c>
      <c r="O19" s="91" t="s">
        <v>151</v>
      </c>
      <c r="P19" s="92">
        <v>60</v>
      </c>
      <c r="Q19" s="90"/>
      <c r="R19" s="93">
        <f>IFERROR(VLOOKUP(Table2[[#This Row],[Adresa]],Sheet1!$A$1:$C$50,2,0),0)</f>
        <v>43.843953499999998</v>
      </c>
      <c r="S19" s="93">
        <f>IFERROR(VLOOKUP(Table2[[#This Row],[Adresa]],Sheet1!$A$1:$C$50,3,0),0)</f>
        <v>18.358142300000001</v>
      </c>
    </row>
    <row r="20" spans="1:19" s="93" customFormat="1" ht="51">
      <c r="A20" s="90">
        <v>20</v>
      </c>
      <c r="B20" s="90" t="s">
        <v>516</v>
      </c>
      <c r="C20" s="90" t="s">
        <v>515</v>
      </c>
      <c r="D20" s="90" t="s">
        <v>532</v>
      </c>
      <c r="E20" s="90" t="s">
        <v>374</v>
      </c>
      <c r="F20" s="90" t="s">
        <v>110</v>
      </c>
      <c r="G20" s="90" t="s">
        <v>111</v>
      </c>
      <c r="H20" s="90" t="s">
        <v>112</v>
      </c>
      <c r="I20" s="91" t="s">
        <v>113</v>
      </c>
      <c r="J20" s="90">
        <v>38733723635</v>
      </c>
      <c r="K20" s="91" t="s">
        <v>145</v>
      </c>
      <c r="L20" s="90" t="s">
        <v>146</v>
      </c>
      <c r="M20" s="90" t="s">
        <v>153</v>
      </c>
      <c r="N20" s="91" t="s">
        <v>154</v>
      </c>
      <c r="O20" s="91" t="s">
        <v>154</v>
      </c>
      <c r="P20" s="92">
        <v>60</v>
      </c>
      <c r="Q20" s="90"/>
      <c r="R20" s="93">
        <f>IFERROR(VLOOKUP(Table2[[#This Row],[Adresa]],Sheet1!$A$1:$C$50,2,0),0)</f>
        <v>43.843953499999998</v>
      </c>
      <c r="S20" s="93">
        <f>IFERROR(VLOOKUP(Table2[[#This Row],[Adresa]],Sheet1!$A$1:$C$50,3,0),0)</f>
        <v>18.358142300000001</v>
      </c>
    </row>
    <row r="21" spans="1:19" s="93" customFormat="1" ht="229.5">
      <c r="A21" s="90">
        <v>21</v>
      </c>
      <c r="B21" s="90" t="s">
        <v>25</v>
      </c>
      <c r="C21" s="90" t="s">
        <v>25</v>
      </c>
      <c r="D21" s="131" t="s">
        <v>533</v>
      </c>
      <c r="E21" s="90" t="s">
        <v>391</v>
      </c>
      <c r="F21" s="90" t="s">
        <v>110</v>
      </c>
      <c r="G21" s="90" t="s">
        <v>111</v>
      </c>
      <c r="H21" s="90" t="s">
        <v>112</v>
      </c>
      <c r="I21" s="91" t="s">
        <v>113</v>
      </c>
      <c r="J21" s="90">
        <v>38733723635</v>
      </c>
      <c r="K21" s="91" t="s">
        <v>145</v>
      </c>
      <c r="L21" s="90" t="s">
        <v>155</v>
      </c>
      <c r="M21" s="90" t="s">
        <v>156</v>
      </c>
      <c r="N21" s="91" t="s">
        <v>157</v>
      </c>
      <c r="O21" s="91" t="s">
        <v>158</v>
      </c>
      <c r="P21" s="92"/>
      <c r="Q21" s="90"/>
      <c r="R21" s="93">
        <f>IFERROR(VLOOKUP(Table2[[#This Row],[Adresa]],Sheet1!$A$1:$C$50,2,0),0)</f>
        <v>43.843953499999998</v>
      </c>
      <c r="S21" s="93">
        <f>IFERROR(VLOOKUP(Table2[[#This Row],[Adresa]],Sheet1!$A$1:$C$50,3,0),0)</f>
        <v>18.358142300000001</v>
      </c>
    </row>
    <row r="22" spans="1:19" s="103" customFormat="1" ht="219.75" customHeight="1">
      <c r="A22" s="90">
        <v>22</v>
      </c>
      <c r="B22" s="90" t="s">
        <v>26</v>
      </c>
      <c r="C22" s="99" t="s">
        <v>87</v>
      </c>
      <c r="D22" s="131" t="s">
        <v>532</v>
      </c>
      <c r="E22" s="99" t="s">
        <v>374</v>
      </c>
      <c r="F22" s="99" t="s">
        <v>88</v>
      </c>
      <c r="G22" s="99" t="s">
        <v>89</v>
      </c>
      <c r="H22" s="99" t="s">
        <v>90</v>
      </c>
      <c r="I22" s="100" t="s">
        <v>91</v>
      </c>
      <c r="J22" s="90">
        <v>38733725207</v>
      </c>
      <c r="K22" s="100" t="s">
        <v>92</v>
      </c>
      <c r="L22" s="114" t="s">
        <v>394</v>
      </c>
      <c r="M22" s="116" t="s">
        <v>395</v>
      </c>
      <c r="N22" s="114" t="s">
        <v>396</v>
      </c>
      <c r="O22" s="115" t="s">
        <v>397</v>
      </c>
      <c r="P22" s="99" t="s">
        <v>95</v>
      </c>
      <c r="Q22" s="99" t="s">
        <v>95</v>
      </c>
      <c r="R22" s="93">
        <f>IFERROR(VLOOKUP(Table2[[#This Row],[Adresa]],Sheet1!$A$1:$C$50,2,0),0)</f>
        <v>43.85633</v>
      </c>
      <c r="S22" s="93">
        <f>IFERROR(VLOOKUP(Table2[[#This Row],[Adresa]],Sheet1!$A$1:$C$50,3,0),0)</f>
        <v>18.384492399999999</v>
      </c>
    </row>
    <row r="23" spans="1:19" s="93" customFormat="1" ht="242.25">
      <c r="A23" s="90">
        <v>23</v>
      </c>
      <c r="B23" s="131" t="s">
        <v>64</v>
      </c>
      <c r="C23" s="90" t="s">
        <v>336</v>
      </c>
      <c r="D23" s="90" t="s">
        <v>60</v>
      </c>
      <c r="E23" s="90"/>
      <c r="F23" s="90" t="s">
        <v>110</v>
      </c>
      <c r="G23" s="90" t="s">
        <v>312</v>
      </c>
      <c r="H23" s="90" t="s">
        <v>313</v>
      </c>
      <c r="I23" s="91" t="s">
        <v>314</v>
      </c>
      <c r="J23" s="90">
        <v>38733777260</v>
      </c>
      <c r="K23" s="91" t="s">
        <v>315</v>
      </c>
      <c r="L23" s="90" t="s">
        <v>337</v>
      </c>
      <c r="M23" s="90" t="s">
        <v>398</v>
      </c>
      <c r="N23" s="90" t="s">
        <v>399</v>
      </c>
      <c r="O23" s="90"/>
      <c r="P23" s="92"/>
      <c r="Q23" s="90" t="s">
        <v>340</v>
      </c>
      <c r="R23" s="93">
        <f>IFERROR(VLOOKUP(Table2[[#This Row],[Adresa]],Sheet1!$A$1:$C$50,2,0),0)</f>
        <v>43.833867749999897</v>
      </c>
      <c r="S23" s="93">
        <f>IFERROR(VLOOKUP(Table2[[#This Row],[Adresa]],Sheet1!$A$1:$C$50,3,0),0)</f>
        <v>18.3318392646853</v>
      </c>
    </row>
    <row r="24" spans="1:19" s="93" customFormat="1" ht="51">
      <c r="A24" s="90">
        <v>24</v>
      </c>
      <c r="B24" s="90" t="s">
        <v>27</v>
      </c>
      <c r="C24" s="99" t="s">
        <v>203</v>
      </c>
      <c r="D24" s="90" t="s">
        <v>560</v>
      </c>
      <c r="E24" s="99" t="s">
        <v>374</v>
      </c>
      <c r="F24" s="99" t="s">
        <v>88</v>
      </c>
      <c r="G24" s="99" t="s">
        <v>204</v>
      </c>
      <c r="H24" s="99" t="s">
        <v>90</v>
      </c>
      <c r="I24" s="99" t="s">
        <v>91</v>
      </c>
      <c r="J24" s="90">
        <v>38733725207</v>
      </c>
      <c r="K24" s="100" t="s">
        <v>92</v>
      </c>
      <c r="L24" s="99" t="s">
        <v>205</v>
      </c>
      <c r="M24" s="99" t="s">
        <v>206</v>
      </c>
      <c r="N24" s="99" t="s">
        <v>95</v>
      </c>
      <c r="O24" s="99" t="s">
        <v>95</v>
      </c>
      <c r="P24" s="99" t="s">
        <v>95</v>
      </c>
      <c r="Q24" s="99" t="s">
        <v>95</v>
      </c>
      <c r="R24" s="93">
        <f>IFERROR(VLOOKUP(Table2[[#This Row],[Adresa]],Sheet1!$A$1:$C$50,2,0),0)</f>
        <v>43.85633</v>
      </c>
      <c r="S24" s="93">
        <f>IFERROR(VLOOKUP(Table2[[#This Row],[Adresa]],Sheet1!$A$1:$C$50,3,0),0)</f>
        <v>18.384492399999999</v>
      </c>
    </row>
    <row r="25" spans="1:19" s="93" customFormat="1" ht="140.25">
      <c r="A25" s="90">
        <v>25</v>
      </c>
      <c r="B25" s="90" t="s">
        <v>28</v>
      </c>
      <c r="C25" s="90" t="s">
        <v>117</v>
      </c>
      <c r="D25" s="90" t="s">
        <v>422</v>
      </c>
      <c r="E25" s="90" t="s">
        <v>391</v>
      </c>
      <c r="F25" s="90" t="s">
        <v>110</v>
      </c>
      <c r="G25" s="90" t="s">
        <v>118</v>
      </c>
      <c r="H25" s="90" t="s">
        <v>119</v>
      </c>
      <c r="I25" s="91" t="s">
        <v>120</v>
      </c>
      <c r="J25" s="90">
        <v>38733209044</v>
      </c>
      <c r="K25" s="90" t="s">
        <v>121</v>
      </c>
      <c r="L25" s="90" t="s">
        <v>122</v>
      </c>
      <c r="M25" s="90"/>
      <c r="N25" s="90" t="s">
        <v>517</v>
      </c>
      <c r="O25" s="90"/>
      <c r="P25" s="92"/>
      <c r="Q25" s="90"/>
      <c r="R25" s="93">
        <f>IFERROR(VLOOKUP(Table2[[#This Row],[Adresa]],Sheet1!$A$1:$C$50,2,0),0)</f>
        <v>43.856848849999999</v>
      </c>
      <c r="S25" s="93">
        <f>IFERROR(VLOOKUP(Table2[[#This Row],[Adresa]],Sheet1!$A$1:$C$50,3,0),0)</f>
        <v>18.384989102369499</v>
      </c>
    </row>
    <row r="26" spans="1:19" s="93" customFormat="1" ht="204">
      <c r="A26" s="90">
        <v>26</v>
      </c>
      <c r="B26" s="90" t="s">
        <v>65</v>
      </c>
      <c r="C26" s="90" t="s">
        <v>341</v>
      </c>
      <c r="D26" s="90" t="s">
        <v>60</v>
      </c>
      <c r="E26" s="90"/>
      <c r="F26" s="90" t="s">
        <v>110</v>
      </c>
      <c r="G26" s="90" t="s">
        <v>312</v>
      </c>
      <c r="H26" s="90" t="s">
        <v>313</v>
      </c>
      <c r="I26" s="91" t="s">
        <v>314</v>
      </c>
      <c r="J26" s="90">
        <v>38733777260</v>
      </c>
      <c r="K26" s="91" t="s">
        <v>315</v>
      </c>
      <c r="L26" s="90" t="s">
        <v>342</v>
      </c>
      <c r="M26" s="90" t="s">
        <v>343</v>
      </c>
      <c r="N26" s="90" t="s">
        <v>344</v>
      </c>
      <c r="O26" s="90"/>
      <c r="P26" s="92"/>
      <c r="Q26" s="90" t="s">
        <v>345</v>
      </c>
      <c r="R26" s="93">
        <f>IFERROR(VLOOKUP(Table2[[#This Row],[Adresa]],Sheet1!$A$1:$C$50,2,0),0)</f>
        <v>43.833867749999897</v>
      </c>
      <c r="S26" s="93">
        <f>IFERROR(VLOOKUP(Table2[[#This Row],[Adresa]],Sheet1!$A$1:$C$50,3,0),0)</f>
        <v>18.3318392646853</v>
      </c>
    </row>
    <row r="27" spans="1:19" s="93" customFormat="1" ht="409.5">
      <c r="A27" s="90">
        <v>27</v>
      </c>
      <c r="B27" s="90" t="s">
        <v>66</v>
      </c>
      <c r="C27" s="90" t="s">
        <v>322</v>
      </c>
      <c r="D27" s="90" t="s">
        <v>60</v>
      </c>
      <c r="E27" s="90" t="s">
        <v>382</v>
      </c>
      <c r="F27" s="90" t="s">
        <v>110</v>
      </c>
      <c r="G27" s="90" t="s">
        <v>284</v>
      </c>
      <c r="H27" s="90" t="s">
        <v>285</v>
      </c>
      <c r="I27" s="98" t="s">
        <v>323</v>
      </c>
      <c r="J27" s="90">
        <v>38733562379</v>
      </c>
      <c r="K27" s="90" t="s">
        <v>332</v>
      </c>
      <c r="L27" s="90"/>
      <c r="M27" s="90" t="s">
        <v>346</v>
      </c>
      <c r="N27" s="90" t="s">
        <v>518</v>
      </c>
      <c r="O27" s="91" t="s">
        <v>348</v>
      </c>
      <c r="P27" s="92"/>
      <c r="Q27" s="90" t="s">
        <v>328</v>
      </c>
      <c r="R27" s="93">
        <f>IFERROR(VLOOKUP(Table2[[#This Row],[Adresa]],Sheet1!$A$1:$C$50,2,0),0)</f>
        <v>43.857201400000001</v>
      </c>
      <c r="S27" s="93">
        <f>IFERROR(VLOOKUP(Table2[[#This Row],[Adresa]],Sheet1!$A$1:$C$50,3,0),0)</f>
        <v>18.413743400000001</v>
      </c>
    </row>
    <row r="28" spans="1:19" s="93" customFormat="1" ht="409.5">
      <c r="A28" s="90">
        <v>28</v>
      </c>
      <c r="B28" s="90" t="s">
        <v>67</v>
      </c>
      <c r="C28" s="90" t="s">
        <v>322</v>
      </c>
      <c r="D28" s="90" t="s">
        <v>60</v>
      </c>
      <c r="E28" s="90" t="s">
        <v>400</v>
      </c>
      <c r="F28" s="90" t="s">
        <v>110</v>
      </c>
      <c r="G28" s="90" t="s">
        <v>284</v>
      </c>
      <c r="H28" s="90" t="s">
        <v>285</v>
      </c>
      <c r="I28" s="98" t="s">
        <v>323</v>
      </c>
      <c r="J28" s="90">
        <v>38733562379</v>
      </c>
      <c r="K28" s="90" t="s">
        <v>332</v>
      </c>
      <c r="L28" s="90"/>
      <c r="M28" s="90" t="s">
        <v>346</v>
      </c>
      <c r="N28" s="90" t="s">
        <v>518</v>
      </c>
      <c r="O28" s="91" t="s">
        <v>349</v>
      </c>
      <c r="P28" s="92"/>
      <c r="Q28" s="90" t="s">
        <v>328</v>
      </c>
      <c r="R28" s="93">
        <f>IFERROR(VLOOKUP(Table2[[#This Row],[Adresa]],Sheet1!$A$1:$C$50,2,0),0)</f>
        <v>43.857201400000001</v>
      </c>
      <c r="S28" s="93">
        <f>IFERROR(VLOOKUP(Table2[[#This Row],[Adresa]],Sheet1!$A$1:$C$50,3,0),0)</f>
        <v>18.413743400000001</v>
      </c>
    </row>
    <row r="29" spans="1:19" s="93" customFormat="1" ht="409.5">
      <c r="A29" s="90">
        <v>29</v>
      </c>
      <c r="B29" s="131" t="s">
        <v>38</v>
      </c>
      <c r="C29" s="90" t="s">
        <v>401</v>
      </c>
      <c r="D29" s="104" t="s">
        <v>422</v>
      </c>
      <c r="E29" s="99" t="s">
        <v>391</v>
      </c>
      <c r="F29" s="99" t="s">
        <v>271</v>
      </c>
      <c r="G29" s="90" t="s">
        <v>402</v>
      </c>
      <c r="H29" s="90"/>
      <c r="I29" s="91"/>
      <c r="J29" s="90" t="s">
        <v>403</v>
      </c>
      <c r="K29" s="91"/>
      <c r="L29" s="90" t="s">
        <v>404</v>
      </c>
      <c r="M29" s="99" t="s">
        <v>227</v>
      </c>
      <c r="N29" s="90" t="s">
        <v>519</v>
      </c>
      <c r="O29" s="91" t="s">
        <v>229</v>
      </c>
      <c r="P29" s="92"/>
      <c r="Q29" s="90"/>
      <c r="R29" s="93">
        <f>IFERROR(VLOOKUP(Table2[[#This Row],[Adresa]],Sheet1!$A$1:$C$50,2,0),0)</f>
        <v>0</v>
      </c>
      <c r="S29" s="93">
        <f>IFERROR(VLOOKUP(Table2[[#This Row],[Adresa]],Sheet1!$A$1:$C$50,3,0),0)</f>
        <v>0</v>
      </c>
    </row>
    <row r="30" spans="1:19" s="93" customFormat="1" ht="165.75">
      <c r="A30" s="90">
        <v>30</v>
      </c>
      <c r="B30" s="90" t="s">
        <v>70</v>
      </c>
      <c r="C30" s="90" t="s">
        <v>350</v>
      </c>
      <c r="D30" s="90" t="s">
        <v>60</v>
      </c>
      <c r="E30" s="90">
        <v>65</v>
      </c>
      <c r="F30" s="90" t="s">
        <v>88</v>
      </c>
      <c r="G30" s="90" t="s">
        <v>101</v>
      </c>
      <c r="H30" s="90"/>
      <c r="I30" s="90"/>
      <c r="J30" s="90"/>
      <c r="K30" s="90"/>
      <c r="L30" s="90" t="s">
        <v>351</v>
      </c>
      <c r="M30" s="90" t="s">
        <v>352</v>
      </c>
      <c r="N30" s="90" t="s">
        <v>520</v>
      </c>
      <c r="O30" s="90"/>
      <c r="P30" s="92" t="s">
        <v>405</v>
      </c>
      <c r="Q30" s="90" t="s">
        <v>354</v>
      </c>
      <c r="R30" s="93">
        <f>IFERROR(VLOOKUP(Table2[[#This Row],[Adresa]],Sheet1!$A$1:$C$50,2,0),0)</f>
        <v>0</v>
      </c>
      <c r="S30" s="93">
        <f>IFERROR(VLOOKUP(Table2[[#This Row],[Adresa]],Sheet1!$A$1:$C$50,3,0),0)</f>
        <v>0</v>
      </c>
    </row>
    <row r="31" spans="1:19" s="135" customFormat="1" ht="360">
      <c r="A31" s="99">
        <v>31</v>
      </c>
      <c r="B31" s="99" t="s">
        <v>475</v>
      </c>
      <c r="C31" s="90" t="s">
        <v>477</v>
      </c>
      <c r="D31" s="90" t="s">
        <v>464</v>
      </c>
      <c r="E31" s="99"/>
      <c r="F31" s="99" t="s">
        <v>478</v>
      </c>
      <c r="G31" s="90" t="s">
        <v>483</v>
      </c>
      <c r="H31" s="90" t="s">
        <v>484</v>
      </c>
      <c r="I31" s="133" t="s">
        <v>485</v>
      </c>
      <c r="J31" s="90" t="s">
        <v>486</v>
      </c>
      <c r="K31" s="133" t="s">
        <v>488</v>
      </c>
      <c r="L31" s="90" t="s">
        <v>482</v>
      </c>
      <c r="M31" s="99"/>
      <c r="N31" s="134" t="s">
        <v>492</v>
      </c>
      <c r="O31" s="133" t="s">
        <v>479</v>
      </c>
      <c r="P31" s="92"/>
      <c r="Q31" s="90"/>
      <c r="R31" s="93">
        <f>IFERROR(VLOOKUP(Table2[[#This Row],[Adresa]],Sheet1!$A$1:$C$50,2,0),0)</f>
        <v>43.85633</v>
      </c>
      <c r="S31" s="93">
        <f>IFERROR(VLOOKUP(Table2[[#This Row],[Adresa]],Sheet1!$A$1:$C$50,3,0),0)</f>
        <v>18.384492399999999</v>
      </c>
    </row>
    <row r="32" spans="1:19" ht="229.5">
      <c r="A32" s="104">
        <v>31</v>
      </c>
      <c r="B32" s="104" t="s">
        <v>491</v>
      </c>
      <c r="C32" s="136" t="s">
        <v>494</v>
      </c>
      <c r="D32" s="136" t="s">
        <v>464</v>
      </c>
      <c r="E32" s="104"/>
      <c r="F32" s="104" t="s">
        <v>478</v>
      </c>
      <c r="G32" s="136" t="s">
        <v>483</v>
      </c>
      <c r="H32" s="136" t="s">
        <v>484</v>
      </c>
      <c r="I32" s="133" t="s">
        <v>485</v>
      </c>
      <c r="J32" s="136" t="s">
        <v>486</v>
      </c>
      <c r="K32" s="133" t="s">
        <v>488</v>
      </c>
      <c r="L32" s="136" t="s">
        <v>495</v>
      </c>
      <c r="M32" s="104"/>
      <c r="N32" s="133" t="s">
        <v>496</v>
      </c>
      <c r="O32" s="133" t="s">
        <v>497</v>
      </c>
      <c r="P32" s="137"/>
      <c r="Q32" s="136"/>
      <c r="R32" s="152">
        <f>IFERROR(VLOOKUP(H32,Sheet1!$A$1:$C$50,2,0),0)</f>
        <v>43.85633</v>
      </c>
      <c r="S32" s="153">
        <f>IFERROR(VLOOKUP(H32,Sheet1!$A$1:$C$50,3,0),0)</f>
        <v>18.384492399999999</v>
      </c>
    </row>
    <row r="33" spans="1:19" ht="395.25">
      <c r="A33" s="104">
        <v>31</v>
      </c>
      <c r="B33" s="104" t="s">
        <v>502</v>
      </c>
      <c r="C33" s="136" t="s">
        <v>501</v>
      </c>
      <c r="D33" s="136" t="s">
        <v>464</v>
      </c>
      <c r="E33" s="104"/>
      <c r="F33" s="104" t="s">
        <v>478</v>
      </c>
      <c r="G33" s="136" t="s">
        <v>483</v>
      </c>
      <c r="H33" s="136" t="s">
        <v>484</v>
      </c>
      <c r="I33" s="133" t="s">
        <v>485</v>
      </c>
      <c r="J33" s="136" t="s">
        <v>486</v>
      </c>
      <c r="K33" s="133" t="s">
        <v>488</v>
      </c>
      <c r="L33" s="136" t="s">
        <v>503</v>
      </c>
      <c r="M33" s="104"/>
      <c r="N33" s="133" t="s">
        <v>498</v>
      </c>
      <c r="O33" s="133" t="s">
        <v>499</v>
      </c>
      <c r="P33" s="137"/>
      <c r="Q33" s="136"/>
      <c r="R33" s="152">
        <f>IFERROR(VLOOKUP(H33,Sheet1!$A$1:$C$50,2,0),0)</f>
        <v>43.85633</v>
      </c>
      <c r="S33" s="153">
        <f>IFERROR(VLOOKUP(H33,Sheet1!$A$1:$C$50,3,0),0)</f>
        <v>18.384492399999999</v>
      </c>
    </row>
  </sheetData>
  <sortState xmlns:xlrd2="http://schemas.microsoft.com/office/spreadsheetml/2017/richdata2" ref="A2:Q30">
    <sortCondition ref="B2:B30"/>
  </sortState>
  <phoneticPr fontId="4" type="noConversion"/>
  <conditionalFormatting sqref="B35:B1048576 B1:B33">
    <cfRule type="duplicateValues" dxfId="3" priority="1"/>
  </conditionalFormatting>
  <dataValidations count="1">
    <dataValidation type="list" allowBlank="1" showInputMessage="1" showErrorMessage="1" sqref="F26 F12 F23" xr:uid="{B142B612-B83B-4802-8CE2-9604B24FEE64}">
      <formula1>#REF!</formula1>
    </dataValidation>
  </dataValidations>
  <hyperlinks>
    <hyperlink ref="I19" r:id="rId1" xr:uid="{78F30DC9-5ED4-40DE-8200-3DE54983BE23}"/>
    <hyperlink ref="O19" r:id="rId2" xr:uid="{C98232D4-5AE3-45CC-8804-9840BB55AC49}"/>
    <hyperlink ref="N19" r:id="rId3" xr:uid="{ACC6BD98-8CC9-4D14-AA33-CE916332F155}"/>
    <hyperlink ref="I16" r:id="rId4" xr:uid="{C8FBBF2D-5870-4E5F-A45F-32BB8A8BC491}"/>
    <hyperlink ref="N16" r:id="rId5" xr:uid="{234168EE-3052-4AF6-9B1D-62198AFCF92D}"/>
    <hyperlink ref="O16" r:id="rId6" xr:uid="{11982154-9A48-4D1E-B3BC-11FBF1EEC458}"/>
    <hyperlink ref="I20" r:id="rId7" xr:uid="{F0E461A7-EC99-4487-B83A-90F2BE67ACD6}"/>
    <hyperlink ref="N20" r:id="rId8" xr:uid="{01079E8E-2EF7-417B-A655-3A54038A6C85}"/>
    <hyperlink ref="O20" r:id="rId9" xr:uid="{55CC15A0-E73E-446C-853A-2EE9D335BD86}"/>
    <hyperlink ref="I17" r:id="rId10" xr:uid="{824EFE2B-AE70-40AC-A447-108320E62C6E}"/>
    <hyperlink ref="O17" r:id="rId11" xr:uid="{52F82578-AF67-4D3F-A448-1FD4D3C7049F}"/>
    <hyperlink ref="N15" r:id="rId12" xr:uid="{74FD427E-625F-4390-88D2-DFA920ED86D7}"/>
    <hyperlink ref="O15" r:id="rId13" xr:uid="{61E764FC-6EE3-4393-B495-6645B3C2602B}"/>
    <hyperlink ref="I15" r:id="rId14" xr:uid="{B2A8868A-48D3-42B6-A5AE-3E1B51623C62}"/>
    <hyperlink ref="I14" r:id="rId15" xr:uid="{C5D7B899-3D31-4EAA-A03F-D405A0DB4DA1}"/>
    <hyperlink ref="N14" r:id="rId16" xr:uid="{6800AE1F-C86D-40A9-B99C-3C9CB504C96C}"/>
    <hyperlink ref="O14" r:id="rId17" xr:uid="{626FD7B4-E199-436B-BCCA-0544D91F4C71}"/>
    <hyperlink ref="I13" r:id="rId18" xr:uid="{205902B0-CC85-4006-B372-C357E849D5C3}"/>
    <hyperlink ref="N13" r:id="rId19" xr:uid="{DABA3E8B-3F97-4C3A-B669-D76AC6A214AD}"/>
    <hyperlink ref="O13" r:id="rId20" xr:uid="{8D5CD303-B256-4EF0-9856-6309602BF962}"/>
    <hyperlink ref="K19" r:id="rId21" xr:uid="{EEF7813A-0E19-474D-8D62-DBE7710D0321}"/>
    <hyperlink ref="K3:K9" r:id="rId22" display="mirsada@kcsr.ba" xr:uid="{5844F741-BCC3-4A56-A9BF-49FA72E96A6A}"/>
    <hyperlink ref="I21" r:id="rId23" xr:uid="{4D6CB5A9-DAA7-4FE6-9B61-39E0C7FD07CD}"/>
    <hyperlink ref="K21" r:id="rId24" xr:uid="{4B4B5F1A-01F2-41C1-9CCE-EFF9786C509D}"/>
    <hyperlink ref="N21" r:id="rId25" xr:uid="{5B3814F5-EDF7-4A48-A53F-64425C26EC2B}"/>
    <hyperlink ref="K13" r:id="rId26" xr:uid="{5B0B4A89-ABD1-4442-A447-5FD4054BA99F}"/>
    <hyperlink ref="O21" r:id="rId27" xr:uid="{3A3D882A-6B31-4FD7-A087-427195A45331}"/>
    <hyperlink ref="N10" r:id="rId28" xr:uid="{64CC2801-2B11-4A84-A5B2-A41DF52550C7}"/>
    <hyperlink ref="O10" r:id="rId29" xr:uid="{3E6C2248-F239-4FD4-B0A1-1C0458171D35}"/>
    <hyperlink ref="K10" r:id="rId30" xr:uid="{9CEE20FF-66C6-46E5-94D5-BA21EB8DEF37}"/>
    <hyperlink ref="I10" r:id="rId31" xr:uid="{984ABFF5-1CB4-4F19-9914-FBC9C04DF783}"/>
    <hyperlink ref="K15" r:id="rId32" xr:uid="{47123BF8-2415-47DD-98A6-42C505621A55}"/>
    <hyperlink ref="I28" r:id="rId33" xr:uid="{60F297B7-C87A-42A9-B6FE-B9FC2B3064CF}"/>
    <hyperlink ref="I27" r:id="rId34" xr:uid="{C44FF3FB-DF90-4DF7-A49B-5EB0179D1EB6}"/>
    <hyperlink ref="I6" r:id="rId35" xr:uid="{CF75739F-2524-4B53-9E75-C7915CD82B4B}"/>
    <hyperlink ref="O28" r:id="rId36" xr:uid="{9E7430AE-90F1-44AB-AC99-0D61C39575A8}"/>
    <hyperlink ref="O27" r:id="rId37" xr:uid="{443FBE89-B924-4874-9514-43331B88053F}"/>
    <hyperlink ref="O6" r:id="rId38" xr:uid="{CB5DF25D-70C0-4A3F-B152-1C759ACD4A87}"/>
    <hyperlink ref="I26" r:id="rId39" xr:uid="{9151D214-AD2D-4EF4-BE3E-C0E6E09E778D}"/>
    <hyperlink ref="K26" r:id="rId40" xr:uid="{1A5B8FB9-157A-492A-8C33-A0F94BEFEA3C}"/>
    <hyperlink ref="I23" r:id="rId41" xr:uid="{015A1891-EE0A-401A-89A9-3AD61E0F97A2}"/>
    <hyperlink ref="K23" r:id="rId42" xr:uid="{3C21A119-9A64-41DA-BEFC-6EF6F547981D}"/>
    <hyperlink ref="I2" r:id="rId43" xr:uid="{805AFDB9-E48D-4E2B-8BAA-CBF26596624A}"/>
    <hyperlink ref="K2" r:id="rId44" xr:uid="{21430A00-E4FC-4A6F-84CB-218D6764716E}"/>
    <hyperlink ref="I25" r:id="rId45" xr:uid="{AD721119-8BD3-4A83-A9A8-1558F97C352F}"/>
    <hyperlink ref="O29" r:id="rId46" xr:uid="{F3D5E297-FB25-43D7-834E-5247CDBF968F}"/>
    <hyperlink ref="K4" r:id="rId47" xr:uid="{C8F9F2B4-370C-4429-956C-26B9E6DE2614}"/>
    <hyperlink ref="O4" r:id="rId48" xr:uid="{66C595A4-547B-43B5-A3CA-0E0E527C66F0}"/>
    <hyperlink ref="I4" r:id="rId49" xr:uid="{39500619-9468-49CD-A6E6-D6C8EE538E6E}"/>
    <hyperlink ref="O3" r:id="rId50" xr:uid="{13A4095D-EB9F-4C6A-9545-69F62A440992}"/>
    <hyperlink ref="O12"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2" r:id="rId52" xr:uid="{FEB6CCE7-4315-4849-80C2-1BC50D2061B9}"/>
    <hyperlink ref="I18" r:id="rId53" xr:uid="{1D75C04E-273C-43B8-A3A0-8C566ED03EEA}"/>
    <hyperlink ref="K18" r:id="rId54" xr:uid="{C2BD38D7-7CFD-48ED-8F49-60300EA0AFD8}"/>
    <hyperlink ref="O18" r:id="rId55" xr:uid="{88D79B1B-5916-4D75-9F88-AFE3DC816702}"/>
    <hyperlink ref="I9" r:id="rId56" xr:uid="{480118F7-7809-4470-9482-56772F0C79C3}"/>
    <hyperlink ref="K9" r:id="rId57" xr:uid="{67C2902E-A83B-44B3-8079-6B4B253557FA}"/>
    <hyperlink ref="I11" r:id="rId58" xr:uid="{11AE68A3-6A83-469B-BECD-D4B5CBE84BBE}"/>
    <hyperlink ref="K11" r:id="rId59" xr:uid="{3409BD2E-76F2-468B-B6FD-7F9FE652CA2C}"/>
    <hyperlink ref="I8" r:id="rId60" xr:uid="{57FF9329-241F-4507-B455-93CB9E8F27F1}"/>
    <hyperlink ref="K8" r:id="rId61" xr:uid="{5A711F07-C21F-4E85-AEC3-9B517DF28B35}"/>
    <hyperlink ref="I22" r:id="rId62" xr:uid="{930E3C08-AAC8-4555-B4CA-87B3C428CF54}"/>
    <hyperlink ref="K22" r:id="rId63" xr:uid="{6C7E6D52-C0FD-4539-A65A-2316AB940369}"/>
    <hyperlink ref="I7" r:id="rId64" xr:uid="{FF158E98-9CF7-40FB-9C11-A4468C5139F4}"/>
    <hyperlink ref="K7" r:id="rId65" xr:uid="{40CBE7C8-5CE2-4794-8508-7E25031D4724}"/>
    <hyperlink ref="K24" r:id="rId66" xr:uid="{851B3371-4B21-4456-8FEA-01FC4C27212D}"/>
    <hyperlink ref="I3" r:id="rId67" xr:uid="{6284B528-DAFD-E848-B480-365321F64A34}"/>
    <hyperlink ref="Q3" r:id="rId68" xr:uid="{353C267C-5362-134F-8108-2950380C116E}"/>
    <hyperlink ref="O5" r:id="rId69" xr:uid="{232A3C59-853A-4847-8626-95140FCB529E}"/>
    <hyperlink ref="O9" r:id="rId70" xr:uid="{5A6C3CDE-F4D7-4F50-94C4-4A5B2A4E8042}"/>
    <hyperlink ref="O8" r:id="rId71" xr:uid="{6748CFA5-678D-4E8D-87F6-51AEC7045DEA}"/>
    <hyperlink ref="O11" r:id="rId72" xr:uid="{F6C7F289-8855-4281-A69A-20EE299729D6}"/>
    <hyperlink ref="O22" r:id="rId73" xr:uid="{C27936DE-394F-4371-AB9B-63426D8D73AD}"/>
    <hyperlink ref="O31" r:id="rId74" xr:uid="{03D22513-EF77-44B7-8E79-6C1018C1C8DD}"/>
    <hyperlink ref="I31" r:id="rId75" xr:uid="{D95003A9-D436-45E3-8F28-579700D5CCCC}"/>
    <hyperlink ref="K31" r:id="rId76" xr:uid="{E3F3173B-8B1C-4D47-B8CC-A2B89F761021}"/>
    <hyperlink ref="N32" r:id="rId77" xr:uid="{24B3945B-35FA-487C-B0A2-16951272B304}"/>
    <hyperlink ref="O32" r:id="rId78" xr:uid="{A410C27D-431B-477D-A4F6-976F1909EB1E}"/>
    <hyperlink ref="I32" r:id="rId79" xr:uid="{5E3AA88C-B3A9-41A3-A1C9-744F3E50FFDF}"/>
    <hyperlink ref="K32" r:id="rId80" xr:uid="{A55D65E6-162F-4F5B-83DD-4EDFE2460CF0}"/>
    <hyperlink ref="K33" r:id="rId81" display="mailto:sonja.toholj@fzmiopio.ba" xr:uid="{5BEBB690-0C50-49F3-997B-76995B15E9D6}"/>
    <hyperlink ref="I33" r:id="rId82" xr:uid="{DFDDE1D1-3F4A-447F-8FFE-8339330A934C}"/>
    <hyperlink ref="N33" r:id="rId83" xr:uid="{A4E01C7A-6DC5-4B94-952B-486A8A21EF77}"/>
    <hyperlink ref="O33" r:id="rId84" xr:uid="{757C55D2-5E74-4E27-A058-1DD25965E4C9}"/>
    <hyperlink ref="K5" r:id="rId85" xr:uid="{9B2A1E40-7B67-4315-97E5-F2CD42B51A5D}"/>
  </hyperlinks>
  <pageMargins left="0.7" right="0.7" top="0.75" bottom="0.75" header="0.3" footer="0.3"/>
  <pageSetup paperSize="9" orientation="portrait" horizontalDpi="4294967292" verticalDpi="1200" r:id="rId86"/>
  <legacyDrawing r:id="rId87"/>
  <tableParts count="1">
    <tablePart r:id="rId88"/>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F25 F2:F21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Q26"/>
  <sheetViews>
    <sheetView showGridLines="0" tabSelected="1" topLeftCell="I1" zoomScale="85" zoomScaleNormal="85" workbookViewId="0">
      <pane ySplit="1" topLeftCell="A2" activePane="bottomLeft" state="frozen"/>
      <selection activeCell="B4" sqref="B4"/>
      <selection pane="bottomLeft" activeCell="J2" sqref="J2"/>
    </sheetView>
  </sheetViews>
  <sheetFormatPr defaultColWidth="8.85546875" defaultRowHeight="15"/>
  <cols>
    <col min="1" max="1" width="30.85546875" customWidth="1"/>
    <col min="2" max="2" width="40.42578125" style="122" customWidth="1"/>
    <col min="3" max="3" width="25.42578125" customWidth="1"/>
    <col min="4" max="4" width="19.42578125" customWidth="1"/>
    <col min="5" max="5" width="41.7109375" customWidth="1"/>
    <col min="6" max="6" width="24.42578125" customWidth="1"/>
    <col min="8" max="8" width="14.140625" customWidth="1"/>
    <col min="9" max="9" width="17.7109375" customWidth="1"/>
    <col min="10" max="10" width="8.85546875" customWidth="1"/>
    <col min="11" max="11" width="42.7109375" customWidth="1"/>
    <col min="12" max="12" width="17.140625" customWidth="1"/>
    <col min="13" max="13" width="28.85546875" customWidth="1"/>
    <col min="14" max="14" width="18.28515625" customWidth="1"/>
  </cols>
  <sheetData>
    <row r="1" spans="1:16" ht="51.6" customHeight="1">
      <c r="A1" s="108" t="s">
        <v>1</v>
      </c>
      <c r="B1" s="117" t="s">
        <v>74</v>
      </c>
      <c r="C1" s="109" t="s">
        <v>75</v>
      </c>
      <c r="D1" s="118" t="s">
        <v>0</v>
      </c>
      <c r="E1" s="108" t="s">
        <v>406</v>
      </c>
      <c r="F1" s="108" t="s">
        <v>76</v>
      </c>
      <c r="G1" s="108" t="s">
        <v>77</v>
      </c>
      <c r="H1" s="108" t="s">
        <v>78</v>
      </c>
      <c r="I1" s="108" t="s">
        <v>79</v>
      </c>
      <c r="J1" s="108" t="s">
        <v>80</v>
      </c>
      <c r="K1" s="108" t="s">
        <v>407</v>
      </c>
      <c r="L1" s="108" t="s">
        <v>82</v>
      </c>
      <c r="M1" s="108" t="s">
        <v>83</v>
      </c>
      <c r="N1" s="108" t="s">
        <v>84</v>
      </c>
      <c r="O1" s="151" t="s">
        <v>558</v>
      </c>
      <c r="P1" s="151" t="s">
        <v>559</v>
      </c>
    </row>
    <row r="2" spans="1:16" ht="63">
      <c r="A2" s="110" t="s">
        <v>3</v>
      </c>
      <c r="B2" s="110" t="s">
        <v>168</v>
      </c>
      <c r="C2" s="110" t="s">
        <v>88</v>
      </c>
      <c r="D2" s="110" t="s">
        <v>534</v>
      </c>
      <c r="E2" s="110" t="s">
        <v>471</v>
      </c>
      <c r="F2" s="110" t="s">
        <v>169</v>
      </c>
      <c r="G2" s="110" t="s">
        <v>170</v>
      </c>
      <c r="H2" s="84"/>
      <c r="I2" s="119">
        <v>38733285261</v>
      </c>
      <c r="J2" s="84"/>
      <c r="K2" s="110"/>
      <c r="L2" s="110" t="s">
        <v>171</v>
      </c>
      <c r="M2" s="84"/>
      <c r="N2" s="84"/>
      <c r="O2" s="154">
        <f>IFERROR(VLOOKUP(Table5[[#This Row],[Adresa]],Sheet1!$A$1:$C$50,2,0),0)</f>
        <v>43.858553000000001</v>
      </c>
      <c r="P2" s="155">
        <f>IFERROR(VLOOKUP(Table5[[#This Row],[Adresa]],Sheet1!$A$1:$C$50,3,0),0)</f>
        <v>18.402099609375</v>
      </c>
    </row>
    <row r="3" spans="1:16" ht="126">
      <c r="A3" s="111" t="s">
        <v>52</v>
      </c>
      <c r="B3" s="111" t="s">
        <v>493</v>
      </c>
      <c r="C3" s="110" t="s">
        <v>222</v>
      </c>
      <c r="D3" s="82" t="s">
        <v>51</v>
      </c>
      <c r="E3" s="110" t="s">
        <v>410</v>
      </c>
      <c r="F3" s="110" t="s">
        <v>294</v>
      </c>
      <c r="G3" s="110" t="s">
        <v>295</v>
      </c>
      <c r="H3" s="84" t="s">
        <v>296</v>
      </c>
      <c r="I3" s="120">
        <v>38733562128</v>
      </c>
      <c r="J3" s="84" t="s">
        <v>297</v>
      </c>
      <c r="K3" s="110" t="s">
        <v>298</v>
      </c>
      <c r="L3" s="111" t="s">
        <v>299</v>
      </c>
      <c r="M3" s="84"/>
      <c r="N3" s="84"/>
      <c r="O3" s="154">
        <f>IFERROR(VLOOKUP(Table5[[#This Row],[Adresa]],Sheet1!$A$1:$C$50,2,0),0)</f>
        <v>43.857349450000001</v>
      </c>
      <c r="P3" s="155">
        <f>IFERROR(VLOOKUP(Table5[[#This Row],[Adresa]],Sheet1!$A$1:$C$50,3,0),0)</f>
        <v>18.413135847170199</v>
      </c>
    </row>
    <row r="4" spans="1:16" ht="168">
      <c r="A4" s="110" t="s">
        <v>411</v>
      </c>
      <c r="B4" s="110" t="s">
        <v>500</v>
      </c>
      <c r="C4" s="110" t="s">
        <v>88</v>
      </c>
      <c r="D4" s="82" t="s">
        <v>422</v>
      </c>
      <c r="E4" s="110"/>
      <c r="F4" s="110" t="s">
        <v>508</v>
      </c>
      <c r="G4" s="110"/>
      <c r="H4" s="84"/>
      <c r="I4" s="110"/>
      <c r="J4" s="84"/>
      <c r="K4" s="110" t="s">
        <v>413</v>
      </c>
      <c r="L4" s="110"/>
      <c r="M4" s="84"/>
      <c r="N4" s="84"/>
      <c r="O4" s="154">
        <f>IFERROR(VLOOKUP(Table5[[#This Row],[Adresa]],Sheet1!$A$1:$C$50,2,0),0)</f>
        <v>0</v>
      </c>
      <c r="P4" s="155">
        <f>IFERROR(VLOOKUP(Table5[[#This Row],[Adresa]],Sheet1!$A$1:$C$50,3,0),0)</f>
        <v>0</v>
      </c>
    </row>
    <row r="5" spans="1:16" ht="150">
      <c r="A5" s="110" t="s">
        <v>6</v>
      </c>
      <c r="B5" s="110" t="s">
        <v>172</v>
      </c>
      <c r="C5" s="110" t="s">
        <v>110</v>
      </c>
      <c r="D5" s="110" t="s">
        <v>534</v>
      </c>
      <c r="E5" s="110" t="s">
        <v>414</v>
      </c>
      <c r="F5" s="110" t="s">
        <v>173</v>
      </c>
      <c r="G5" s="110" t="s">
        <v>174</v>
      </c>
      <c r="H5" s="84" t="s">
        <v>175</v>
      </c>
      <c r="I5" s="120">
        <v>387733637384</v>
      </c>
      <c r="J5" s="84" t="s">
        <v>176</v>
      </c>
      <c r="K5" s="110" t="s">
        <v>177</v>
      </c>
      <c r="L5" s="110" t="s">
        <v>178</v>
      </c>
      <c r="M5" s="110" t="s">
        <v>179</v>
      </c>
      <c r="N5" s="132" t="s">
        <v>180</v>
      </c>
      <c r="O5" s="154">
        <f>IFERROR(VLOOKUP(Table5[[#This Row],[Adresa]],Sheet1!$A$1:$C$50,2,0),0)</f>
        <v>43.829455600000003</v>
      </c>
      <c r="P5" s="155">
        <f>IFERROR(VLOOKUP(Table5[[#This Row],[Adresa]],Sheet1!$A$1:$C$50,3,0),0)</f>
        <v>18.310951865680199</v>
      </c>
    </row>
    <row r="6" spans="1:16" ht="60">
      <c r="A6" s="110" t="s">
        <v>61</v>
      </c>
      <c r="B6" s="110" t="s">
        <v>505</v>
      </c>
      <c r="C6" s="110" t="s">
        <v>110</v>
      </c>
      <c r="D6" s="82" t="s">
        <v>60</v>
      </c>
      <c r="E6" s="110" t="s">
        <v>504</v>
      </c>
      <c r="F6" s="110" t="s">
        <v>173</v>
      </c>
      <c r="G6" s="110" t="s">
        <v>174</v>
      </c>
      <c r="H6" s="84"/>
      <c r="I6" s="120">
        <v>387733637384</v>
      </c>
      <c r="J6" s="84" t="s">
        <v>176</v>
      </c>
      <c r="K6" s="110" t="s">
        <v>356</v>
      </c>
      <c r="L6" s="110"/>
      <c r="M6" s="110"/>
      <c r="N6" s="110"/>
      <c r="O6" s="154">
        <f>IFERROR(VLOOKUP(Table5[[#This Row],[Adresa]],Sheet1!$A$1:$C$50,2,0),0)</f>
        <v>43.829455600000003</v>
      </c>
      <c r="P6" s="155">
        <f>IFERROR(VLOOKUP(Table5[[#This Row],[Adresa]],Sheet1!$A$1:$C$50,3,0),0)</f>
        <v>18.310951865680199</v>
      </c>
    </row>
    <row r="7" spans="1:16" ht="165">
      <c r="A7" s="110" t="s">
        <v>473</v>
      </c>
      <c r="B7" s="110" t="s">
        <v>181</v>
      </c>
      <c r="C7" s="110" t="s">
        <v>88</v>
      </c>
      <c r="D7" s="110" t="s">
        <v>534</v>
      </c>
      <c r="E7" s="110" t="s">
        <v>472</v>
      </c>
      <c r="F7" s="110" t="s">
        <v>173</v>
      </c>
      <c r="G7" s="110" t="s">
        <v>174</v>
      </c>
      <c r="H7" s="112" t="s">
        <v>561</v>
      </c>
      <c r="I7" s="120">
        <v>387733637384</v>
      </c>
      <c r="J7" s="84" t="s">
        <v>176</v>
      </c>
      <c r="K7" s="110" t="s">
        <v>182</v>
      </c>
      <c r="L7" s="132" t="s">
        <v>180</v>
      </c>
      <c r="M7" s="132" t="s">
        <v>180</v>
      </c>
      <c r="N7" s="132" t="s">
        <v>180</v>
      </c>
      <c r="O7" s="154">
        <f>IFERROR(VLOOKUP(Table5[[#This Row],[Adresa]],Sheet1!$A$1:$C$50,2,0),0)</f>
        <v>43.829455600000003</v>
      </c>
      <c r="P7" s="155">
        <f>IFERROR(VLOOKUP(Table5[[#This Row],[Adresa]],Sheet1!$A$1:$C$50,3,0),0)</f>
        <v>18.310951865680199</v>
      </c>
    </row>
    <row r="8" spans="1:16" ht="126">
      <c r="A8" s="110" t="s">
        <v>43</v>
      </c>
      <c r="B8" s="110" t="s">
        <v>275</v>
      </c>
      <c r="C8" s="110" t="s">
        <v>415</v>
      </c>
      <c r="D8" s="110" t="s">
        <v>534</v>
      </c>
      <c r="E8" s="110"/>
      <c r="F8" s="110" t="s">
        <v>276</v>
      </c>
      <c r="G8" s="110" t="s">
        <v>277</v>
      </c>
      <c r="H8" s="84"/>
      <c r="I8" s="110"/>
      <c r="J8" s="84"/>
      <c r="K8" s="110"/>
      <c r="L8" s="110" t="s">
        <v>278</v>
      </c>
      <c r="M8" s="110" t="s">
        <v>279</v>
      </c>
      <c r="N8" s="84"/>
      <c r="O8" s="154">
        <f>IFERROR(VLOOKUP(Table5[[#This Row],[Adresa]],Sheet1!$A$1:$C$50,2,0),0)</f>
        <v>43.847950949999998</v>
      </c>
      <c r="P8" s="155">
        <f>IFERROR(VLOOKUP(Table5[[#This Row],[Adresa]],Sheet1!$A$1:$C$50,3,0),0)</f>
        <v>18.3536972495775</v>
      </c>
    </row>
    <row r="9" spans="1:16" ht="199.5">
      <c r="A9" s="110" t="s">
        <v>44</v>
      </c>
      <c r="B9" s="110" t="s">
        <v>270</v>
      </c>
      <c r="C9" s="110" t="s">
        <v>271</v>
      </c>
      <c r="D9" s="110" t="s">
        <v>534</v>
      </c>
      <c r="E9" s="110" t="s">
        <v>417</v>
      </c>
      <c r="F9" s="110" t="s">
        <v>272</v>
      </c>
      <c r="G9" s="110"/>
      <c r="H9" s="84"/>
      <c r="I9" s="110"/>
      <c r="J9" s="84"/>
      <c r="K9" s="110"/>
      <c r="L9" s="110" t="s">
        <v>273</v>
      </c>
      <c r="M9" s="121" t="s">
        <v>274</v>
      </c>
      <c r="N9" s="84"/>
      <c r="O9" s="154">
        <f>IFERROR(VLOOKUP(Table5[[#This Row],[Adresa]],Sheet1!$A$1:$C$50,2,0),0)</f>
        <v>0</v>
      </c>
      <c r="P9" s="155">
        <f>IFERROR(VLOOKUP(Table5[[#This Row],[Adresa]],Sheet1!$A$1:$C$50,3,0),0)</f>
        <v>0</v>
      </c>
    </row>
    <row r="10" spans="1:16" ht="180">
      <c r="A10" s="110" t="s">
        <v>13</v>
      </c>
      <c r="B10" s="110" t="s">
        <v>185</v>
      </c>
      <c r="C10" s="110" t="s">
        <v>415</v>
      </c>
      <c r="D10" s="110" t="s">
        <v>534</v>
      </c>
      <c r="E10" s="110"/>
      <c r="F10" s="110" t="s">
        <v>187</v>
      </c>
      <c r="G10" s="110" t="s">
        <v>188</v>
      </c>
      <c r="H10" s="84" t="s">
        <v>189</v>
      </c>
      <c r="I10" s="119">
        <v>38733653093</v>
      </c>
      <c r="J10" s="84"/>
      <c r="K10" s="110"/>
      <c r="L10" s="110"/>
      <c r="M10" s="110"/>
      <c r="N10" s="84"/>
      <c r="O10" s="154">
        <f>IFERROR(VLOOKUP(Table5[[#This Row],[Adresa]],Sheet1!$A$1:$C$50,2,0),0)</f>
        <v>43.852587649999997</v>
      </c>
      <c r="P10" s="155">
        <f>IFERROR(VLOOKUP(Table5[[#This Row],[Adresa]],Sheet1!$A$1:$C$50,3,0),0)</f>
        <v>18.3816443990954</v>
      </c>
    </row>
    <row r="11" spans="1:16" ht="105">
      <c r="A11" s="110" t="s">
        <v>361</v>
      </c>
      <c r="B11" s="110" t="s">
        <v>190</v>
      </c>
      <c r="C11" s="110" t="s">
        <v>191</v>
      </c>
      <c r="D11" s="111" t="s">
        <v>531</v>
      </c>
      <c r="E11" s="110"/>
      <c r="F11" s="110" t="s">
        <v>509</v>
      </c>
      <c r="G11" s="110"/>
      <c r="H11" s="84"/>
      <c r="I11" s="110"/>
      <c r="J11" s="84"/>
      <c r="K11" s="110" t="s">
        <v>418</v>
      </c>
      <c r="L11" s="110"/>
      <c r="M11" s="110" t="s">
        <v>194</v>
      </c>
      <c r="N11" s="84"/>
      <c r="O11" s="154">
        <f>IFERROR(VLOOKUP(Table5[[#This Row],[Adresa]],Sheet1!$A$1:$C$50,2,0),0)</f>
        <v>0</v>
      </c>
      <c r="P11" s="155">
        <f>IFERROR(VLOOKUP(Table5[[#This Row],[Adresa]],Sheet1!$A$1:$C$50,3,0),0)</f>
        <v>0</v>
      </c>
    </row>
    <row r="12" spans="1:16" ht="229.5">
      <c r="A12" s="94" t="s">
        <v>419</v>
      </c>
      <c r="B12" s="94" t="s">
        <v>506</v>
      </c>
      <c r="C12" s="110" t="s">
        <v>88</v>
      </c>
      <c r="D12" s="110" t="s">
        <v>534</v>
      </c>
      <c r="E12" s="110"/>
      <c r="F12" s="90" t="s">
        <v>97</v>
      </c>
      <c r="G12" s="90" t="s">
        <v>420</v>
      </c>
      <c r="H12" s="100" t="s">
        <v>91</v>
      </c>
      <c r="I12" s="90">
        <v>38733725207</v>
      </c>
      <c r="J12" s="84" t="s">
        <v>92</v>
      </c>
      <c r="K12" s="110"/>
      <c r="L12" s="94" t="s">
        <v>421</v>
      </c>
      <c r="M12" s="84"/>
      <c r="N12" s="84"/>
      <c r="O12" s="154">
        <f>IFERROR(VLOOKUP(Table5[[#This Row],[Adresa]],Sheet1!$A$1:$C$50,2,0),0)</f>
        <v>43.85633</v>
      </c>
      <c r="P12" s="155">
        <f>IFERROR(VLOOKUP(Table5[[#This Row],[Adresa]],Sheet1!$A$1:$C$50,3,0),0)</f>
        <v>18.384492399999999</v>
      </c>
    </row>
    <row r="13" spans="1:16" ht="94.5">
      <c r="A13" s="110" t="s">
        <v>45</v>
      </c>
      <c r="B13" s="110" t="s">
        <v>523</v>
      </c>
      <c r="C13" s="110" t="s">
        <v>271</v>
      </c>
      <c r="D13" s="110" t="s">
        <v>534</v>
      </c>
      <c r="E13" s="110"/>
      <c r="F13" s="110" t="s">
        <v>524</v>
      </c>
      <c r="G13" s="110" t="s">
        <v>525</v>
      </c>
      <c r="H13" s="84" t="s">
        <v>530</v>
      </c>
      <c r="I13" s="110" t="s">
        <v>529</v>
      </c>
      <c r="J13" s="84" t="s">
        <v>528</v>
      </c>
      <c r="K13" s="84" t="s">
        <v>526</v>
      </c>
      <c r="L13" s="110"/>
      <c r="M13" s="110" t="s">
        <v>527</v>
      </c>
      <c r="N13" s="84"/>
      <c r="O13" s="154">
        <f>IFERROR(VLOOKUP(Table5[[#This Row],[Adresa]],Sheet1!$A$1:$C$50,2,0),0)</f>
        <v>43.858199999999997</v>
      </c>
      <c r="P13" s="155">
        <f>IFERROR(VLOOKUP(Table5[[#This Row],[Adresa]],Sheet1!$A$1:$C$50,3,0),0)</f>
        <v>18.414709999999999</v>
      </c>
    </row>
    <row r="14" spans="1:16" ht="126">
      <c r="A14" s="110" t="s">
        <v>55</v>
      </c>
      <c r="B14" s="110" t="s">
        <v>302</v>
      </c>
      <c r="C14" s="110" t="s">
        <v>222</v>
      </c>
      <c r="D14" s="82" t="s">
        <v>422</v>
      </c>
      <c r="L14" s="111" t="s">
        <v>299</v>
      </c>
      <c r="O14" s="154">
        <f>IFERROR(VLOOKUP(Table5[[#This Row],[Adresa]],Sheet1!$A$1:$C$50,2,0),0)</f>
        <v>0</v>
      </c>
      <c r="P14" s="155">
        <f>IFERROR(VLOOKUP(Table5[[#This Row],[Adresa]],Sheet1!$A$1:$C$50,3,0),0)</f>
        <v>0</v>
      </c>
    </row>
    <row r="15" spans="1:16" ht="157.5">
      <c r="A15" s="110" t="s">
        <v>56</v>
      </c>
      <c r="B15" s="111" t="s">
        <v>303</v>
      </c>
      <c r="C15" s="110" t="s">
        <v>222</v>
      </c>
      <c r="D15" s="82" t="s">
        <v>51</v>
      </c>
      <c r="E15" s="110" t="s">
        <v>410</v>
      </c>
      <c r="F15" s="110" t="s">
        <v>294</v>
      </c>
      <c r="G15" s="110" t="s">
        <v>304</v>
      </c>
      <c r="H15" s="84" t="s">
        <v>296</v>
      </c>
      <c r="I15" s="120">
        <v>38733562128</v>
      </c>
      <c r="J15" s="84" t="s">
        <v>297</v>
      </c>
      <c r="K15" s="110" t="s">
        <v>298</v>
      </c>
      <c r="L15" s="111" t="s">
        <v>299</v>
      </c>
      <c r="M15" s="84"/>
      <c r="N15" s="84"/>
      <c r="O15" s="154">
        <f>IFERROR(VLOOKUP(Table5[[#This Row],[Adresa]],Sheet1!$A$1:$C$50,2,0),0)</f>
        <v>43.857349450000001</v>
      </c>
      <c r="P15" s="155">
        <f>IFERROR(VLOOKUP(Table5[[#This Row],[Adresa]],Sheet1!$A$1:$C$50,3,0),0)</f>
        <v>18.413135847170199</v>
      </c>
    </row>
    <row r="16" spans="1:16" ht="135">
      <c r="A16" s="110" t="s">
        <v>36</v>
      </c>
      <c r="B16" s="110" t="s">
        <v>232</v>
      </c>
      <c r="C16" s="110" t="s">
        <v>88</v>
      </c>
      <c r="D16" s="82" t="s">
        <v>422</v>
      </c>
      <c r="E16" s="110" t="s">
        <v>471</v>
      </c>
      <c r="F16" s="110" t="s">
        <v>233</v>
      </c>
      <c r="G16" s="110" t="s">
        <v>234</v>
      </c>
      <c r="H16" s="84" t="s">
        <v>235</v>
      </c>
      <c r="I16" s="119">
        <v>38733214249</v>
      </c>
      <c r="J16" s="84"/>
      <c r="K16" s="110"/>
      <c r="L16" s="110"/>
      <c r="M16" s="84" t="s">
        <v>235</v>
      </c>
      <c r="N16" s="84" t="s">
        <v>235</v>
      </c>
      <c r="O16" s="154">
        <f>IFERROR(VLOOKUP(Table5[[#This Row],[Adresa]],Sheet1!$A$1:$C$50,2,0),0)</f>
        <v>43.8671705</v>
      </c>
      <c r="P16" s="155">
        <f>IFERROR(VLOOKUP(Table5[[#This Row],[Adresa]],Sheet1!$A$1:$C$50,3,0),0)</f>
        <v>18.413270799999999</v>
      </c>
    </row>
    <row r="17" spans="1:17" ht="73.5">
      <c r="A17" s="110" t="s">
        <v>37</v>
      </c>
      <c r="B17" s="110" t="s">
        <v>230</v>
      </c>
      <c r="C17" s="110" t="s">
        <v>222</v>
      </c>
      <c r="D17" s="110" t="s">
        <v>33</v>
      </c>
      <c r="E17" s="110" t="s">
        <v>410</v>
      </c>
      <c r="F17" s="110" t="s">
        <v>507</v>
      </c>
      <c r="G17" s="110"/>
      <c r="O17" s="154">
        <f>IFERROR(VLOOKUP(Table5[[#This Row],[Adresa]],Sheet1!$A$1:$C$50,2,0),0)</f>
        <v>0</v>
      </c>
      <c r="P17" s="155">
        <f>IFERROR(VLOOKUP(Table5[[#This Row],[Adresa]],Sheet1!$A$1:$C$50,3,0),0)</f>
        <v>0</v>
      </c>
    </row>
    <row r="18" spans="1:17" ht="52.5">
      <c r="A18" s="110" t="s">
        <v>31</v>
      </c>
      <c r="B18" s="110" t="s">
        <v>163</v>
      </c>
      <c r="C18" s="110" t="s">
        <v>110</v>
      </c>
      <c r="D18" s="82" t="s">
        <v>422</v>
      </c>
      <c r="E18" s="110" t="s">
        <v>474</v>
      </c>
      <c r="F18" s="110" t="s">
        <v>507</v>
      </c>
      <c r="G18" s="110"/>
      <c r="H18" s="84"/>
      <c r="I18" s="110"/>
      <c r="J18" s="84"/>
      <c r="K18" s="110"/>
      <c r="L18" s="110"/>
      <c r="M18" s="84"/>
      <c r="N18" s="84"/>
      <c r="O18" s="154">
        <f>IFERROR(VLOOKUP(Table5[[#This Row],[Adresa]],Sheet1!$A$1:$C$50,2,0),0)</f>
        <v>0</v>
      </c>
      <c r="P18" s="155">
        <f>IFERROR(VLOOKUP(Table5[[#This Row],[Adresa]],Sheet1!$A$1:$C$50,3,0),0)</f>
        <v>0</v>
      </c>
    </row>
    <row r="19" spans="1:17" ht="57">
      <c r="A19" s="144" t="s">
        <v>522</v>
      </c>
      <c r="B19" s="144" t="s">
        <v>490</v>
      </c>
      <c r="C19" s="144" t="s">
        <v>88</v>
      </c>
      <c r="D19" s="144" t="s">
        <v>534</v>
      </c>
      <c r="E19" s="144"/>
      <c r="F19" s="144"/>
      <c r="G19" s="144"/>
      <c r="H19" s="144"/>
      <c r="I19" s="140"/>
      <c r="J19" s="140"/>
      <c r="K19" s="140"/>
      <c r="L19" s="140"/>
      <c r="M19" s="140"/>
      <c r="N19" s="140"/>
      <c r="O19" s="154">
        <f>IFERROR(VLOOKUP(G19,Sheet1!$A$1:$C$50,2,0),0)</f>
        <v>0</v>
      </c>
      <c r="P19" s="155">
        <f>IFERROR(VLOOKUP(G19,Sheet1!$A$1:$C$50,3,0),0)</f>
        <v>0</v>
      </c>
    </row>
    <row r="20" spans="1:17" ht="409.5">
      <c r="A20" s="144" t="s">
        <v>537</v>
      </c>
      <c r="B20" s="144" t="s">
        <v>545</v>
      </c>
      <c r="C20" s="144" t="s">
        <v>88</v>
      </c>
      <c r="D20" s="144" t="s">
        <v>431</v>
      </c>
      <c r="E20" s="144" t="s">
        <v>538</v>
      </c>
      <c r="F20" s="144" t="s">
        <v>539</v>
      </c>
      <c r="G20" s="144" t="s">
        <v>540</v>
      </c>
      <c r="H20" s="145" t="s">
        <v>541</v>
      </c>
      <c r="I20" s="144" t="s">
        <v>542</v>
      </c>
      <c r="J20" s="140"/>
      <c r="K20" s="143" t="s">
        <v>544</v>
      </c>
      <c r="L20" s="144" t="s">
        <v>543</v>
      </c>
      <c r="M20" s="140"/>
      <c r="N20" s="140"/>
      <c r="O20" s="154">
        <f>IFERROR(VLOOKUP(G20,Sheet1!$A$1:$C$50,2,0),0)</f>
        <v>43.850349999999999</v>
      </c>
      <c r="P20" s="155">
        <f>IFERROR(VLOOKUP(G20,Sheet1!$A$1:$C$50,3,0),0)</f>
        <v>18.37697</v>
      </c>
    </row>
    <row r="21" spans="1:17" s="134" customFormat="1" ht="115.5">
      <c r="A21" s="143" t="s">
        <v>546</v>
      </c>
      <c r="B21" s="146" t="s">
        <v>548</v>
      </c>
      <c r="C21" s="144" t="s">
        <v>88</v>
      </c>
      <c r="D21" s="144" t="s">
        <v>431</v>
      </c>
      <c r="E21" s="147" t="s">
        <v>547</v>
      </c>
      <c r="F21" s="144" t="s">
        <v>539</v>
      </c>
      <c r="G21" s="144" t="s">
        <v>540</v>
      </c>
      <c r="H21" s="145" t="s">
        <v>541</v>
      </c>
      <c r="I21" s="144" t="s">
        <v>542</v>
      </c>
      <c r="J21" s="143"/>
      <c r="K21" s="143" t="s">
        <v>544</v>
      </c>
      <c r="L21" s="143"/>
      <c r="M21" s="143"/>
      <c r="N21" s="143"/>
      <c r="O21" s="154">
        <f>IFERROR(VLOOKUP(G21,Sheet1!$A$1:$C$50,2,0),0)</f>
        <v>43.850349999999999</v>
      </c>
      <c r="P21" s="155">
        <f>IFERROR(VLOOKUP(G21,Sheet1!$A$1:$C$50,3,0),0)</f>
        <v>18.37697</v>
      </c>
    </row>
    <row r="22" spans="1:17" s="135" customFormat="1" ht="409.5">
      <c r="A22" s="104" t="s">
        <v>550</v>
      </c>
      <c r="B22" s="136" t="s">
        <v>553</v>
      </c>
      <c r="C22" s="104" t="s">
        <v>552</v>
      </c>
      <c r="D22" s="148" t="s">
        <v>534</v>
      </c>
      <c r="E22" s="104"/>
      <c r="F22" s="141" t="s">
        <v>284</v>
      </c>
      <c r="G22" s="141" t="s">
        <v>285</v>
      </c>
      <c r="H22" s="142" t="s">
        <v>323</v>
      </c>
      <c r="I22" s="141">
        <v>38733562379</v>
      </c>
      <c r="J22" s="141" t="s">
        <v>332</v>
      </c>
      <c r="K22" s="136" t="s">
        <v>551</v>
      </c>
      <c r="L22" s="104" t="s">
        <v>554</v>
      </c>
      <c r="M22" s="104" t="s">
        <v>555</v>
      </c>
      <c r="N22" s="145" t="s">
        <v>556</v>
      </c>
      <c r="O22" s="154">
        <f>IFERROR(VLOOKUP(G22,Sheet1!$A$1:$C$50,2,0),0)</f>
        <v>43.857201400000001</v>
      </c>
      <c r="P22" s="155">
        <f>IFERROR(VLOOKUP(G22,Sheet1!$A$1:$C$50,3,0),0)</f>
        <v>18.413743400000001</v>
      </c>
      <c r="Q22" s="136"/>
    </row>
    <row r="23" spans="1:17">
      <c r="D23" s="110"/>
    </row>
    <row r="24" spans="1:17">
      <c r="D24" s="110"/>
    </row>
    <row r="25" spans="1:17">
      <c r="D25" s="110"/>
    </row>
    <row r="26" spans="1:17">
      <c r="D26" s="110"/>
    </row>
  </sheetData>
  <autoFilter ref="O1:O26" xr:uid="{B8EE97C4-5CE4-4386-BABA-CA4D0DFA0DEA}"/>
  <sortState xmlns:xlrd2="http://schemas.microsoft.com/office/spreadsheetml/2017/richdata2" ref="A2:N18">
    <sortCondition ref="A16:A18"/>
  </sortState>
  <conditionalFormatting sqref="A19:A20">
    <cfRule type="duplicateValues" dxfId="2" priority="2"/>
  </conditionalFormatting>
  <conditionalFormatting sqref="A21 A1:A18 A23:A1048576">
    <cfRule type="duplicateValues" dxfId="1" priority="3"/>
  </conditionalFormatting>
  <conditionalFormatting sqref="A22">
    <cfRule type="duplicateValues" dxfId="0" priority="1"/>
  </conditionalFormatting>
  <hyperlinks>
    <hyperlink ref="H15" r:id="rId1" xr:uid="{AD625D9F-010B-4FD0-91E9-6E5C5A331511}"/>
    <hyperlink ref="J15"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N7" r:id="rId8" display="https://www.opcinailidza.ba/uploads/files/shares/Elektronski_formulari/2021/socijalna 2/ZAHTJEV ZA PRIZNAVANJE PRAVA NA  JEDNOKRATNU NOV%C4%8CANU  POMO%C4%86 I SUFINANSIRANJE MEDICINSKI POTPOMOGNUTE OPLODNJE.pdf" xr:uid="{63387B0A-A686-42A0-963B-C1CCB35D83D6}"/>
    <hyperlink ref="L7" r:id="rId9" display="https://www.opcinailidza.ba/uploads/files/shares/Elektronski_formulari/2021/socijalna 2/ZAHTJEV ZA PRIZNAVANJE PRAVA NA  JEDNOKRATNU NOV%C4%8CANU  POMO%C4%86 I SUFINANSIRANJE MEDICINSKI POTPOMOGNUTE OPLODNJE.pdf" xr:uid="{4AF03D64-0441-4F93-8D72-5D4F49372E57}"/>
    <hyperlink ref="M7" r:id="rId10" display="https://www.opcinailidza.ba/uploads/files/shares/Elektronski_formulari/2021/socijalna 2/ZAHTJEV ZA PRIZNAVANJE PRAVA NA  JEDNOKRATNU NOV%C4%8CANU  POMO%C4%86 I SUFINANSIRANJE MEDICINSKI POTPOMOGNUTE OPLODNJE.pdf" xr:uid="{62AAB241-4F07-47CF-98DF-40CA83E57295}"/>
    <hyperlink ref="N5" r:id="rId11" display="https://www.opcinailidza.ba/uploads/files/shares/Elektronski_formulari/2021/socijalna 2/ZAHTJEV ZA PRIZNAVANJE PRAVA NA  JEDNOKRATNU NOV%C4%8CANU  POMO%C4%86 I SUFINANSIRANJE MEDICINSKI POTPOMOGNUTE OPLODNJE.pdf" xr:uid="{F9F7A1A9-E66C-431D-9D7B-EB54F87FBB4E}"/>
    <hyperlink ref="J6" r:id="rId12" xr:uid="{641E428B-43AC-4BC0-9AEE-995D6FC9D6BC}"/>
    <hyperlink ref="H16" r:id="rId13" xr:uid="{1EB565A9-8D74-4030-B7DA-A07A7FCD6429}"/>
    <hyperlink ref="M16" r:id="rId14" xr:uid="{62C6BD8B-B410-4E08-9185-6AC819534748}"/>
    <hyperlink ref="N16" r:id="rId15" xr:uid="{86C9056B-3833-44E9-96E0-1B5DB38FF620}"/>
    <hyperlink ref="H10" r:id="rId16" xr:uid="{6C52A2D8-AB16-4024-955D-179C622DA8AD}"/>
    <hyperlink ref="K13" r:id="rId17" xr:uid="{E7942737-35E6-4C9A-BDC3-1177B3EE7CC5}"/>
    <hyperlink ref="H12" r:id="rId18" xr:uid="{26180AA7-0679-4A36-8DAD-5A13B12C2BFD}"/>
    <hyperlink ref="J12" r:id="rId19" xr:uid="{86FAD974-5382-4E42-9568-B3BB6CAB4FA0}"/>
    <hyperlink ref="J13" r:id="rId20" xr:uid="{198B5CCB-EB18-438E-B83D-7955C26756DB}"/>
    <hyperlink ref="H13" r:id="rId21" xr:uid="{57E4FFCA-907E-4D85-9BA7-5EB321B464C2}"/>
    <hyperlink ref="H20" r:id="rId22" xr:uid="{0598FEE6-3206-4F60-A327-1F48B88A5895}"/>
    <hyperlink ref="H21" r:id="rId23" xr:uid="{94907F12-9E9E-4186-B976-EBF782BF8F92}"/>
    <hyperlink ref="H22" r:id="rId24" xr:uid="{7DDC2FDB-F40E-4B7B-893A-067DAFD815FE}"/>
    <hyperlink ref="N22" r:id="rId25" xr:uid="{8F54FEBE-E576-4B34-A7FC-F803CDE9DDCA}"/>
  </hyperlinks>
  <pageMargins left="0.7" right="0.7" top="0.75" bottom="0.75" header="0.3" footer="0.3"/>
  <tableParts count="1">
    <tablePart r:id="rId26"/>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C12:C14 C8:C10</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7109375" defaultRowHeight="11.25"/>
  <cols>
    <col min="1" max="1" width="8.85546875" style="63" bestFit="1" customWidth="1"/>
    <col min="2" max="2" width="33.7109375" style="60" bestFit="1" customWidth="1"/>
    <col min="3" max="3" width="48.7109375" style="60" customWidth="1"/>
    <col min="4" max="4" width="14.7109375" style="60" customWidth="1"/>
    <col min="5" max="5" width="18.85546875" style="60" customWidth="1"/>
    <col min="6" max="6" width="20.140625" style="60" customWidth="1"/>
    <col min="7" max="7" width="14.7109375" style="60" customWidth="1"/>
    <col min="8" max="8" width="23.5703125" style="60" customWidth="1"/>
    <col min="9" max="9" width="15.140625" style="60" customWidth="1"/>
    <col min="10" max="10" width="8.7109375" style="60"/>
    <col min="11" max="11" width="60.42578125" style="60" customWidth="1"/>
    <col min="12" max="15" width="8.7109375" style="60"/>
    <col min="16" max="16" width="24.28515625" style="60" bestFit="1" customWidth="1"/>
    <col min="17" max="16384" width="8.7109375" style="60"/>
  </cols>
  <sheetData>
    <row r="1" spans="1:17" s="36" customFormat="1" ht="33.6" customHeight="1">
      <c r="A1" s="32" t="s">
        <v>73</v>
      </c>
      <c r="B1" s="32" t="s">
        <v>1</v>
      </c>
      <c r="C1" s="31" t="s">
        <v>74</v>
      </c>
      <c r="D1" s="31" t="s">
        <v>0</v>
      </c>
      <c r="E1" s="33" t="s">
        <v>75</v>
      </c>
      <c r="F1" s="31" t="s">
        <v>76</v>
      </c>
      <c r="G1" s="31" t="s">
        <v>77</v>
      </c>
      <c r="H1" s="31" t="s">
        <v>78</v>
      </c>
      <c r="I1" s="31" t="s">
        <v>79</v>
      </c>
      <c r="J1" s="31" t="s">
        <v>80</v>
      </c>
      <c r="K1" s="31" t="s">
        <v>81</v>
      </c>
      <c r="L1" s="31" t="s">
        <v>82</v>
      </c>
      <c r="M1" s="31" t="s">
        <v>83</v>
      </c>
      <c r="N1" s="31" t="s">
        <v>84</v>
      </c>
      <c r="O1" s="31" t="s">
        <v>85</v>
      </c>
      <c r="P1" s="34" t="s">
        <v>86</v>
      </c>
      <c r="Q1" s="35"/>
    </row>
    <row r="2" spans="1:17" s="40" customFormat="1" ht="77.099999999999994" customHeight="1">
      <c r="A2" s="17">
        <v>1</v>
      </c>
      <c r="B2" s="18" t="s">
        <v>68</v>
      </c>
      <c r="C2" s="18" t="s">
        <v>311</v>
      </c>
      <c r="D2" s="18" t="s">
        <v>60</v>
      </c>
      <c r="E2" s="18" t="s">
        <v>110</v>
      </c>
      <c r="F2" s="18" t="s">
        <v>312</v>
      </c>
      <c r="G2" s="18" t="s">
        <v>313</v>
      </c>
      <c r="H2" s="37" t="s">
        <v>314</v>
      </c>
      <c r="I2" s="18">
        <v>38733777260</v>
      </c>
      <c r="J2" s="37" t="s">
        <v>315</v>
      </c>
      <c r="K2" s="18" t="s">
        <v>316</v>
      </c>
      <c r="L2" s="18" t="s">
        <v>432</v>
      </c>
      <c r="M2" s="18" t="s">
        <v>318</v>
      </c>
      <c r="N2" s="18"/>
      <c r="O2" s="18"/>
      <c r="P2" s="38" t="s">
        <v>433</v>
      </c>
      <c r="Q2" s="39"/>
    </row>
    <row r="3" spans="1:17" s="40" customFormat="1" ht="77.45" customHeight="1">
      <c r="A3" s="17">
        <v>2</v>
      </c>
      <c r="B3" s="21" t="s">
        <v>4</v>
      </c>
      <c r="C3" s="21" t="s">
        <v>99</v>
      </c>
      <c r="D3" s="18" t="s">
        <v>392</v>
      </c>
      <c r="E3" s="21" t="s">
        <v>100</v>
      </c>
      <c r="F3" s="21" t="s">
        <v>434</v>
      </c>
      <c r="G3" s="21" t="s">
        <v>102</v>
      </c>
      <c r="H3" s="41" t="s">
        <v>103</v>
      </c>
      <c r="I3" s="18" t="s">
        <v>104</v>
      </c>
      <c r="J3" s="65" t="s">
        <v>105</v>
      </c>
      <c r="K3" s="21" t="s">
        <v>106</v>
      </c>
      <c r="L3" s="21" t="s">
        <v>435</v>
      </c>
      <c r="M3" s="21" t="s">
        <v>108</v>
      </c>
      <c r="N3" s="21"/>
      <c r="O3" s="21"/>
      <c r="P3" s="38" t="s">
        <v>433</v>
      </c>
      <c r="Q3" s="39"/>
    </row>
    <row r="4" spans="1:17" s="40" customFormat="1" ht="45" customHeight="1">
      <c r="A4" s="19">
        <v>3</v>
      </c>
      <c r="B4" s="19" t="s">
        <v>41</v>
      </c>
      <c r="C4" s="19" t="s">
        <v>255</v>
      </c>
      <c r="D4" s="19" t="s">
        <v>370</v>
      </c>
      <c r="E4" s="17" t="s">
        <v>110</v>
      </c>
      <c r="F4" s="19" t="s">
        <v>256</v>
      </c>
      <c r="G4" s="19" t="s">
        <v>257</v>
      </c>
      <c r="H4" s="42" t="s">
        <v>258</v>
      </c>
      <c r="I4" s="19">
        <v>38733226445</v>
      </c>
      <c r="J4" s="19"/>
      <c r="K4" s="19" t="s">
        <v>259</v>
      </c>
      <c r="L4" s="19" t="s">
        <v>260</v>
      </c>
      <c r="M4" s="19" t="s">
        <v>436</v>
      </c>
      <c r="N4" s="42" t="s">
        <v>262</v>
      </c>
      <c r="O4" s="42" t="s">
        <v>258</v>
      </c>
      <c r="P4" s="38" t="s">
        <v>433</v>
      </c>
      <c r="Q4" s="39"/>
    </row>
    <row r="5" spans="1:17" s="40" customFormat="1" ht="51" customHeight="1">
      <c r="A5" s="17">
        <v>4</v>
      </c>
      <c r="B5" s="22" t="s">
        <v>5</v>
      </c>
      <c r="C5" s="22" t="s">
        <v>124</v>
      </c>
      <c r="D5" s="17" t="s">
        <v>373</v>
      </c>
      <c r="E5" s="22" t="s">
        <v>110</v>
      </c>
      <c r="F5" s="22" t="s">
        <v>125</v>
      </c>
      <c r="G5" s="22" t="s">
        <v>126</v>
      </c>
      <c r="H5" s="37" t="s">
        <v>127</v>
      </c>
      <c r="I5" s="19">
        <v>38733492125</v>
      </c>
      <c r="J5" s="23" t="s">
        <v>128</v>
      </c>
      <c r="K5" s="22" t="s">
        <v>129</v>
      </c>
      <c r="L5" s="22" t="s">
        <v>130</v>
      </c>
      <c r="M5" s="22" t="s">
        <v>437</v>
      </c>
      <c r="N5" s="23" t="s">
        <v>132</v>
      </c>
      <c r="O5" s="22" t="s">
        <v>133</v>
      </c>
      <c r="P5" s="38" t="s">
        <v>433</v>
      </c>
      <c r="Q5" s="39"/>
    </row>
    <row r="6" spans="1:17" s="40" customFormat="1" ht="80.099999999999994" customHeight="1">
      <c r="A6" s="17">
        <v>5</v>
      </c>
      <c r="B6" s="17" t="s">
        <v>69</v>
      </c>
      <c r="C6" s="17" t="s">
        <v>319</v>
      </c>
      <c r="D6" s="17" t="s">
        <v>60</v>
      </c>
      <c r="E6" s="17" t="s">
        <v>110</v>
      </c>
      <c r="F6" s="17" t="s">
        <v>312</v>
      </c>
      <c r="G6" s="17" t="s">
        <v>265</v>
      </c>
      <c r="H6" s="17"/>
      <c r="I6" s="17"/>
      <c r="J6" s="17"/>
      <c r="K6" s="17" t="s">
        <v>320</v>
      </c>
      <c r="L6" s="17"/>
      <c r="M6" s="17"/>
      <c r="N6" s="17"/>
      <c r="O6" s="17" t="s">
        <v>321</v>
      </c>
      <c r="P6" s="38" t="s">
        <v>433</v>
      </c>
      <c r="Q6" s="39"/>
    </row>
    <row r="7" spans="1:17" s="40" customFormat="1" ht="33.6" customHeight="1">
      <c r="A7" s="17">
        <v>6</v>
      </c>
      <c r="B7" s="18" t="s">
        <v>62</v>
      </c>
      <c r="C7" s="18" t="s">
        <v>322</v>
      </c>
      <c r="D7" s="18" t="s">
        <v>438</v>
      </c>
      <c r="E7" s="18" t="s">
        <v>110</v>
      </c>
      <c r="F7" s="18" t="s">
        <v>284</v>
      </c>
      <c r="G7" s="18" t="s">
        <v>285</v>
      </c>
      <c r="H7" s="43" t="s">
        <v>323</v>
      </c>
      <c r="I7" s="18">
        <v>38733562379</v>
      </c>
      <c r="J7" s="18" t="s">
        <v>332</v>
      </c>
      <c r="K7" s="18"/>
      <c r="L7" s="18" t="s">
        <v>325</v>
      </c>
      <c r="M7" s="18" t="s">
        <v>326</v>
      </c>
      <c r="N7" s="37" t="s">
        <v>327</v>
      </c>
      <c r="O7" s="18" t="s">
        <v>328</v>
      </c>
      <c r="P7" s="38" t="s">
        <v>433</v>
      </c>
      <c r="Q7" s="39"/>
    </row>
    <row r="8" spans="1:17" s="40" customFormat="1" ht="33.6" customHeight="1">
      <c r="A8" s="17">
        <v>7</v>
      </c>
      <c r="B8" s="19" t="s">
        <v>8</v>
      </c>
      <c r="C8" s="24" t="s">
        <v>134</v>
      </c>
      <c r="D8" s="17" t="s">
        <v>373</v>
      </c>
      <c r="E8" s="24" t="s">
        <v>88</v>
      </c>
      <c r="F8" s="24" t="s">
        <v>135</v>
      </c>
      <c r="G8" s="24" t="s">
        <v>90</v>
      </c>
      <c r="H8" s="44" t="s">
        <v>91</v>
      </c>
      <c r="I8" s="62">
        <v>38733725207</v>
      </c>
      <c r="J8" s="44" t="s">
        <v>92</v>
      </c>
      <c r="K8" s="24" t="s">
        <v>136</v>
      </c>
      <c r="L8" s="24" t="s">
        <v>137</v>
      </c>
      <c r="M8" s="24" t="s">
        <v>95</v>
      </c>
      <c r="N8" s="24" t="s">
        <v>95</v>
      </c>
      <c r="O8" s="24" t="s">
        <v>95</v>
      </c>
      <c r="P8" s="38" t="s">
        <v>433</v>
      </c>
      <c r="Q8" s="39"/>
    </row>
    <row r="9" spans="1:17" s="40" customFormat="1" ht="33.6" customHeight="1">
      <c r="A9" s="17">
        <v>8</v>
      </c>
      <c r="B9" s="19" t="s">
        <v>9</v>
      </c>
      <c r="C9" s="24" t="s">
        <v>138</v>
      </c>
      <c r="D9" s="17" t="s">
        <v>373</v>
      </c>
      <c r="E9" s="24" t="s">
        <v>88</v>
      </c>
      <c r="F9" s="24" t="s">
        <v>89</v>
      </c>
      <c r="G9" s="24" t="s">
        <v>90</v>
      </c>
      <c r="H9" s="44" t="s">
        <v>91</v>
      </c>
      <c r="I9" s="62">
        <v>38733725207</v>
      </c>
      <c r="J9" s="44" t="s">
        <v>92</v>
      </c>
      <c r="K9" s="24" t="s">
        <v>139</v>
      </c>
      <c r="L9" s="24" t="s">
        <v>140</v>
      </c>
      <c r="M9" s="24" t="s">
        <v>95</v>
      </c>
      <c r="N9" s="24" t="s">
        <v>95</v>
      </c>
      <c r="O9" s="24" t="s">
        <v>95</v>
      </c>
      <c r="P9" s="38" t="s">
        <v>433</v>
      </c>
      <c r="Q9" s="39"/>
    </row>
    <row r="10" spans="1:17" s="40" customFormat="1" ht="33.6" customHeight="1">
      <c r="A10" s="17">
        <v>9</v>
      </c>
      <c r="B10" s="19" t="s">
        <v>10</v>
      </c>
      <c r="C10" s="24" t="s">
        <v>141</v>
      </c>
      <c r="D10" s="17" t="s">
        <v>373</v>
      </c>
      <c r="E10" s="24" t="s">
        <v>88</v>
      </c>
      <c r="F10" s="24" t="s">
        <v>89</v>
      </c>
      <c r="G10" s="24" t="s">
        <v>90</v>
      </c>
      <c r="H10" s="44" t="s">
        <v>91</v>
      </c>
      <c r="I10" s="62">
        <v>38733725207</v>
      </c>
      <c r="J10" s="44" t="s">
        <v>92</v>
      </c>
      <c r="K10" s="25" t="s">
        <v>142</v>
      </c>
      <c r="L10" s="24" t="s">
        <v>143</v>
      </c>
      <c r="M10" s="24" t="s">
        <v>95</v>
      </c>
      <c r="N10" s="24" t="s">
        <v>95</v>
      </c>
      <c r="O10" s="24" t="s">
        <v>95</v>
      </c>
      <c r="P10" s="38" t="s">
        <v>433</v>
      </c>
      <c r="Q10" s="39"/>
    </row>
    <row r="11" spans="1:17" s="40" customFormat="1" ht="33.6" customHeight="1">
      <c r="A11" s="19">
        <v>10</v>
      </c>
      <c r="B11" s="18" t="s">
        <v>42</v>
      </c>
      <c r="C11" s="18" t="s">
        <v>263</v>
      </c>
      <c r="D11" s="18" t="s">
        <v>370</v>
      </c>
      <c r="E11" s="18" t="s">
        <v>88</v>
      </c>
      <c r="F11" s="18" t="s">
        <v>264</v>
      </c>
      <c r="G11" s="18" t="s">
        <v>265</v>
      </c>
      <c r="H11" s="37" t="s">
        <v>266</v>
      </c>
      <c r="I11" s="18">
        <v>38733562027</v>
      </c>
      <c r="J11" s="37" t="s">
        <v>267</v>
      </c>
      <c r="K11" s="18" t="s">
        <v>268</v>
      </c>
      <c r="L11" s="18"/>
      <c r="M11" s="37" t="s">
        <v>269</v>
      </c>
      <c r="N11" s="37" t="s">
        <v>269</v>
      </c>
      <c r="O11" s="18"/>
      <c r="P11" s="38" t="s">
        <v>433</v>
      </c>
      <c r="Q11" s="39"/>
    </row>
    <row r="12" spans="1:17" s="46" customFormat="1" ht="33.6" customHeight="1">
      <c r="A12" s="17">
        <v>11</v>
      </c>
      <c r="B12" s="19" t="s">
        <v>34</v>
      </c>
      <c r="C12" s="24" t="s">
        <v>208</v>
      </c>
      <c r="D12" s="19" t="s">
        <v>387</v>
      </c>
      <c r="E12" s="24" t="s">
        <v>88</v>
      </c>
      <c r="F12" s="24" t="s">
        <v>89</v>
      </c>
      <c r="G12" s="24" t="s">
        <v>90</v>
      </c>
      <c r="H12" s="44" t="s">
        <v>91</v>
      </c>
      <c r="I12" s="62">
        <v>38733725207</v>
      </c>
      <c r="J12" s="44" t="s">
        <v>92</v>
      </c>
      <c r="K12" s="24" t="s">
        <v>209</v>
      </c>
      <c r="L12" s="24" t="s">
        <v>210</v>
      </c>
      <c r="M12" s="24" t="s">
        <v>95</v>
      </c>
      <c r="N12" s="24" t="s">
        <v>95</v>
      </c>
      <c r="O12" s="24" t="s">
        <v>95</v>
      </c>
      <c r="P12" s="38" t="s">
        <v>433</v>
      </c>
      <c r="Q12" s="45"/>
    </row>
    <row r="13" spans="1:17" s="46" customFormat="1" ht="33.6" customHeight="1">
      <c r="A13" s="17">
        <v>12</v>
      </c>
      <c r="B13" s="19" t="s">
        <v>35</v>
      </c>
      <c r="C13" s="19" t="s">
        <v>211</v>
      </c>
      <c r="D13" s="19" t="s">
        <v>387</v>
      </c>
      <c r="E13" s="17" t="s">
        <v>88</v>
      </c>
      <c r="F13" s="19" t="s">
        <v>212</v>
      </c>
      <c r="G13" s="19" t="s">
        <v>213</v>
      </c>
      <c r="H13" s="42" t="s">
        <v>214</v>
      </c>
      <c r="I13" s="19">
        <v>38733291190</v>
      </c>
      <c r="J13" s="19" t="s">
        <v>215</v>
      </c>
      <c r="K13" s="19" t="s">
        <v>216</v>
      </c>
      <c r="L13" s="19" t="s">
        <v>217</v>
      </c>
      <c r="M13" s="19" t="s">
        <v>218</v>
      </c>
      <c r="N13" s="19" t="s">
        <v>219</v>
      </c>
      <c r="O13" s="19" t="s">
        <v>220</v>
      </c>
      <c r="P13" s="38" t="s">
        <v>433</v>
      </c>
      <c r="Q13" s="45"/>
    </row>
    <row r="14" spans="1:17" s="40" customFormat="1" ht="33.6" customHeight="1">
      <c r="A14" s="17">
        <v>13</v>
      </c>
      <c r="B14" s="17" t="s">
        <v>11</v>
      </c>
      <c r="C14" s="17" t="s">
        <v>109</v>
      </c>
      <c r="D14" s="17" t="s">
        <v>392</v>
      </c>
      <c r="E14" s="17" t="s">
        <v>110</v>
      </c>
      <c r="F14" s="17" t="s">
        <v>111</v>
      </c>
      <c r="G14" s="17" t="s">
        <v>112</v>
      </c>
      <c r="H14" s="47" t="s">
        <v>113</v>
      </c>
      <c r="I14" s="17">
        <v>38733723640</v>
      </c>
      <c r="J14" s="47" t="s">
        <v>114</v>
      </c>
      <c r="K14" s="17" t="s">
        <v>115</v>
      </c>
      <c r="L14" s="17"/>
      <c r="M14" s="47" t="s">
        <v>116</v>
      </c>
      <c r="N14" s="47" t="s">
        <v>116</v>
      </c>
      <c r="O14" s="17"/>
      <c r="P14" s="38" t="s">
        <v>433</v>
      </c>
      <c r="Q14" s="39"/>
    </row>
    <row r="15" spans="1:17" s="40" customFormat="1" ht="33.6" customHeight="1">
      <c r="A15" s="17">
        <v>14</v>
      </c>
      <c r="B15" s="18" t="s">
        <v>53</v>
      </c>
      <c r="C15" s="18" t="s">
        <v>281</v>
      </c>
      <c r="D15" s="18" t="s">
        <v>51</v>
      </c>
      <c r="E15" s="18" t="s">
        <v>110</v>
      </c>
      <c r="F15" s="18" t="s">
        <v>111</v>
      </c>
      <c r="G15" s="18" t="s">
        <v>112</v>
      </c>
      <c r="H15" s="37" t="s">
        <v>113</v>
      </c>
      <c r="I15" s="18">
        <v>38733723635</v>
      </c>
      <c r="J15" s="37" t="s">
        <v>145</v>
      </c>
      <c r="K15" s="18" t="s">
        <v>146</v>
      </c>
      <c r="L15" s="18"/>
      <c r="M15" s="37" t="s">
        <v>282</v>
      </c>
      <c r="N15" s="37" t="s">
        <v>282</v>
      </c>
      <c r="O15" s="18"/>
      <c r="P15" s="38" t="s">
        <v>433</v>
      </c>
      <c r="Q15" s="39"/>
    </row>
    <row r="16" spans="1:17" s="46" customFormat="1" ht="33.6" customHeight="1">
      <c r="A16" s="17">
        <v>15</v>
      </c>
      <c r="B16" s="18" t="s">
        <v>17</v>
      </c>
      <c r="C16" s="18" t="s">
        <v>144</v>
      </c>
      <c r="D16" s="18" t="s">
        <v>373</v>
      </c>
      <c r="E16" s="18" t="s">
        <v>110</v>
      </c>
      <c r="F16" s="18" t="s">
        <v>111</v>
      </c>
      <c r="G16" s="18" t="s">
        <v>112</v>
      </c>
      <c r="H16" s="37" t="s">
        <v>113</v>
      </c>
      <c r="I16" s="18">
        <v>38733723635</v>
      </c>
      <c r="J16" s="37" t="s">
        <v>145</v>
      </c>
      <c r="K16" s="18" t="s">
        <v>146</v>
      </c>
      <c r="L16" s="18" t="s">
        <v>147</v>
      </c>
      <c r="M16" s="37" t="s">
        <v>148</v>
      </c>
      <c r="N16" s="37" t="s">
        <v>148</v>
      </c>
      <c r="O16" s="18"/>
      <c r="P16" s="38" t="s">
        <v>433</v>
      </c>
      <c r="Q16" s="45"/>
    </row>
    <row r="17" spans="1:17" s="40" customFormat="1" ht="33.6" customHeight="1">
      <c r="A17" s="66">
        <v>16</v>
      </c>
      <c r="B17" s="67" t="s">
        <v>63</v>
      </c>
      <c r="C17" s="67" t="s">
        <v>329</v>
      </c>
      <c r="D17" s="67" t="s">
        <v>60</v>
      </c>
      <c r="E17" s="67" t="s">
        <v>110</v>
      </c>
      <c r="F17" s="18" t="s">
        <v>111</v>
      </c>
      <c r="G17" s="18" t="s">
        <v>112</v>
      </c>
      <c r="H17" s="37" t="s">
        <v>113</v>
      </c>
      <c r="I17" s="18">
        <v>38733723635</v>
      </c>
      <c r="J17" s="37" t="s">
        <v>145</v>
      </c>
      <c r="K17" s="67" t="s">
        <v>146</v>
      </c>
      <c r="L17" s="18" t="s">
        <v>330</v>
      </c>
      <c r="M17" s="37" t="s">
        <v>331</v>
      </c>
      <c r="N17" s="37" t="s">
        <v>331</v>
      </c>
      <c r="O17" s="18"/>
      <c r="P17" s="38" t="s">
        <v>433</v>
      </c>
      <c r="Q17" s="39"/>
    </row>
    <row r="18" spans="1:17" s="50" customFormat="1" ht="33.6" customHeight="1">
      <c r="A18" s="66">
        <v>16</v>
      </c>
      <c r="B18" s="67" t="s">
        <v>63</v>
      </c>
      <c r="C18" s="67" t="s">
        <v>329</v>
      </c>
      <c r="D18" s="67" t="s">
        <v>60</v>
      </c>
      <c r="E18" s="67" t="s">
        <v>110</v>
      </c>
      <c r="F18" s="18" t="s">
        <v>284</v>
      </c>
      <c r="G18" s="18" t="s">
        <v>285</v>
      </c>
      <c r="H18" s="18" t="s">
        <v>323</v>
      </c>
      <c r="I18" s="18">
        <v>38733562379</v>
      </c>
      <c r="J18" s="18" t="s">
        <v>332</v>
      </c>
      <c r="K18" s="67" t="s">
        <v>146</v>
      </c>
      <c r="L18" s="26" t="s">
        <v>333</v>
      </c>
      <c r="M18" s="26" t="s">
        <v>334</v>
      </c>
      <c r="N18" s="48" t="s">
        <v>335</v>
      </c>
      <c r="O18" s="26" t="s">
        <v>328</v>
      </c>
      <c r="P18" s="38" t="s">
        <v>433</v>
      </c>
      <c r="Q18" s="49"/>
    </row>
    <row r="19" spans="1:17" s="40" customFormat="1" ht="33.6" customHeight="1">
      <c r="A19" s="17">
        <v>17</v>
      </c>
      <c r="B19" s="17" t="s">
        <v>46</v>
      </c>
      <c r="C19" s="17" t="s">
        <v>236</v>
      </c>
      <c r="D19" s="17" t="s">
        <v>40</v>
      </c>
      <c r="E19" s="17" t="s">
        <v>110</v>
      </c>
      <c r="F19" s="17" t="s">
        <v>111</v>
      </c>
      <c r="G19" s="17" t="s">
        <v>112</v>
      </c>
      <c r="H19" s="47" t="s">
        <v>113</v>
      </c>
      <c r="I19" s="18">
        <v>38733723635</v>
      </c>
      <c r="J19" s="47" t="s">
        <v>145</v>
      </c>
      <c r="K19" s="17" t="s">
        <v>237</v>
      </c>
      <c r="L19" s="17" t="s">
        <v>238</v>
      </c>
      <c r="M19" s="51" t="s">
        <v>239</v>
      </c>
      <c r="N19" s="47" t="s">
        <v>240</v>
      </c>
      <c r="O19" s="17"/>
      <c r="P19" s="38" t="s">
        <v>433</v>
      </c>
      <c r="Q19" s="39"/>
    </row>
    <row r="20" spans="1:17" s="40" customFormat="1" ht="33.6" customHeight="1">
      <c r="A20" s="19">
        <v>18</v>
      </c>
      <c r="B20" s="19" t="s">
        <v>47</v>
      </c>
      <c r="C20" s="19" t="s">
        <v>241</v>
      </c>
      <c r="D20" s="19" t="s">
        <v>40</v>
      </c>
      <c r="E20" s="19"/>
      <c r="F20" s="19" t="s">
        <v>242</v>
      </c>
      <c r="G20" s="19" t="s">
        <v>243</v>
      </c>
      <c r="H20" s="42" t="s">
        <v>244</v>
      </c>
      <c r="I20" s="19">
        <v>38733717740</v>
      </c>
      <c r="J20" s="42" t="s">
        <v>245</v>
      </c>
      <c r="K20" s="19" t="s">
        <v>246</v>
      </c>
      <c r="L20" s="19" t="s">
        <v>247</v>
      </c>
      <c r="M20" s="19" t="s">
        <v>248</v>
      </c>
      <c r="N20" s="42" t="s">
        <v>249</v>
      </c>
      <c r="O20" s="19" t="s">
        <v>250</v>
      </c>
      <c r="P20" s="38" t="s">
        <v>433</v>
      </c>
      <c r="Q20" s="39"/>
    </row>
    <row r="21" spans="1:17" s="40" customFormat="1" ht="33.6" customHeight="1">
      <c r="A21" s="17">
        <v>19</v>
      </c>
      <c r="B21" s="18" t="s">
        <v>20</v>
      </c>
      <c r="C21" s="18" t="s">
        <v>149</v>
      </c>
      <c r="D21" s="18" t="s">
        <v>373</v>
      </c>
      <c r="E21" s="18" t="s">
        <v>110</v>
      </c>
      <c r="F21" s="18" t="s">
        <v>111</v>
      </c>
      <c r="G21" s="18" t="s">
        <v>112</v>
      </c>
      <c r="H21" s="37" t="s">
        <v>113</v>
      </c>
      <c r="I21" s="18">
        <v>38733723635</v>
      </c>
      <c r="J21" s="37" t="s">
        <v>145</v>
      </c>
      <c r="K21" s="18" t="s">
        <v>146</v>
      </c>
      <c r="L21" s="18" t="s">
        <v>150</v>
      </c>
      <c r="M21" s="37" t="s">
        <v>151</v>
      </c>
      <c r="N21" s="37" t="s">
        <v>151</v>
      </c>
      <c r="O21" s="18"/>
      <c r="P21" s="38" t="s">
        <v>433</v>
      </c>
      <c r="Q21" s="39"/>
    </row>
    <row r="22" spans="1:17" s="40" customFormat="1" ht="33.6" customHeight="1">
      <c r="A22" s="17">
        <v>20</v>
      </c>
      <c r="B22" s="17" t="s">
        <v>21</v>
      </c>
      <c r="C22" s="17" t="s">
        <v>152</v>
      </c>
      <c r="D22" s="17" t="s">
        <v>373</v>
      </c>
      <c r="E22" s="17" t="s">
        <v>110</v>
      </c>
      <c r="F22" s="17" t="s">
        <v>111</v>
      </c>
      <c r="G22" s="17" t="s">
        <v>112</v>
      </c>
      <c r="H22" s="47" t="s">
        <v>113</v>
      </c>
      <c r="I22" s="18">
        <v>38733723635</v>
      </c>
      <c r="J22" s="47" t="s">
        <v>145</v>
      </c>
      <c r="K22" s="17" t="s">
        <v>146</v>
      </c>
      <c r="L22" s="17" t="s">
        <v>153</v>
      </c>
      <c r="M22" s="47" t="s">
        <v>154</v>
      </c>
      <c r="N22" s="47" t="s">
        <v>154</v>
      </c>
      <c r="O22" s="17"/>
      <c r="P22" s="38" t="s">
        <v>433</v>
      </c>
      <c r="Q22" s="39"/>
    </row>
    <row r="23" spans="1:17" s="46" customFormat="1" ht="33.6" customHeight="1">
      <c r="A23" s="17">
        <v>21</v>
      </c>
      <c r="B23" s="18" t="s">
        <v>25</v>
      </c>
      <c r="C23" s="18" t="s">
        <v>25</v>
      </c>
      <c r="D23" s="18" t="s">
        <v>373</v>
      </c>
      <c r="E23" s="18" t="s">
        <v>110</v>
      </c>
      <c r="F23" s="18" t="s">
        <v>111</v>
      </c>
      <c r="G23" s="18" t="s">
        <v>112</v>
      </c>
      <c r="H23" s="37" t="s">
        <v>113</v>
      </c>
      <c r="I23" s="18">
        <v>38733723635</v>
      </c>
      <c r="J23" s="37" t="s">
        <v>145</v>
      </c>
      <c r="K23" s="18" t="s">
        <v>155</v>
      </c>
      <c r="L23" s="18" t="s">
        <v>156</v>
      </c>
      <c r="M23" s="37" t="s">
        <v>157</v>
      </c>
      <c r="N23" s="37" t="s">
        <v>158</v>
      </c>
      <c r="O23" s="18"/>
      <c r="P23" s="38" t="s">
        <v>433</v>
      </c>
      <c r="Q23" s="45"/>
    </row>
    <row r="24" spans="1:17" s="53" customFormat="1" ht="33.6" customHeight="1">
      <c r="A24" s="17">
        <v>22</v>
      </c>
      <c r="B24" s="19" t="s">
        <v>26</v>
      </c>
      <c r="C24" s="24" t="s">
        <v>87</v>
      </c>
      <c r="D24" s="24" t="s">
        <v>95</v>
      </c>
      <c r="E24" s="24" t="s">
        <v>374</v>
      </c>
      <c r="F24" s="24" t="s">
        <v>89</v>
      </c>
      <c r="G24" s="24" t="s">
        <v>90</v>
      </c>
      <c r="H24" s="44" t="s">
        <v>91</v>
      </c>
      <c r="I24" s="62">
        <v>38733725207</v>
      </c>
      <c r="J24" s="44" t="s">
        <v>92</v>
      </c>
      <c r="K24" s="24" t="s">
        <v>93</v>
      </c>
      <c r="L24" s="24" t="s">
        <v>94</v>
      </c>
      <c r="M24" s="24" t="s">
        <v>95</v>
      </c>
      <c r="N24" s="24" t="s">
        <v>95</v>
      </c>
      <c r="O24" s="24" t="s">
        <v>95</v>
      </c>
      <c r="P24" s="38" t="s">
        <v>433</v>
      </c>
      <c r="Q24" s="52"/>
    </row>
    <row r="25" spans="1:17" s="55" customFormat="1" ht="33.6" customHeight="1">
      <c r="A25" s="17">
        <v>23</v>
      </c>
      <c r="B25" s="17" t="s">
        <v>64</v>
      </c>
      <c r="C25" s="17" t="s">
        <v>336</v>
      </c>
      <c r="D25" s="17" t="s">
        <v>60</v>
      </c>
      <c r="E25" s="17" t="s">
        <v>110</v>
      </c>
      <c r="F25" s="17" t="s">
        <v>312</v>
      </c>
      <c r="G25" s="17" t="s">
        <v>313</v>
      </c>
      <c r="H25" s="47" t="s">
        <v>314</v>
      </c>
      <c r="I25" s="17">
        <v>38733777260</v>
      </c>
      <c r="J25" s="47" t="s">
        <v>315</v>
      </c>
      <c r="K25" s="17" t="s">
        <v>439</v>
      </c>
      <c r="L25" s="17" t="s">
        <v>398</v>
      </c>
      <c r="M25" s="17" t="s">
        <v>440</v>
      </c>
      <c r="N25" s="17"/>
      <c r="O25" s="17" t="s">
        <v>340</v>
      </c>
      <c r="P25" s="38" t="s">
        <v>433</v>
      </c>
      <c r="Q25" s="54"/>
    </row>
    <row r="26" spans="1:17" s="46" customFormat="1" ht="33.6" customHeight="1">
      <c r="A26" s="17">
        <v>24</v>
      </c>
      <c r="B26" s="19" t="s">
        <v>27</v>
      </c>
      <c r="C26" s="24" t="s">
        <v>203</v>
      </c>
      <c r="D26" s="24" t="s">
        <v>88</v>
      </c>
      <c r="E26" s="24" t="s">
        <v>441</v>
      </c>
      <c r="F26" s="24" t="s">
        <v>204</v>
      </c>
      <c r="G26" s="24" t="s">
        <v>90</v>
      </c>
      <c r="H26" s="24" t="s">
        <v>91</v>
      </c>
      <c r="I26" s="62">
        <v>38733725207</v>
      </c>
      <c r="J26" s="44" t="s">
        <v>92</v>
      </c>
      <c r="K26" s="24" t="s">
        <v>205</v>
      </c>
      <c r="L26" s="24" t="s">
        <v>206</v>
      </c>
      <c r="M26" s="24" t="s">
        <v>95</v>
      </c>
      <c r="N26" s="24" t="s">
        <v>95</v>
      </c>
      <c r="O26" s="24" t="s">
        <v>95</v>
      </c>
      <c r="P26" s="38" t="s">
        <v>433</v>
      </c>
      <c r="Q26" s="45"/>
    </row>
    <row r="27" spans="1:17" s="46" customFormat="1" ht="33.6" customHeight="1">
      <c r="A27" s="17">
        <v>25</v>
      </c>
      <c r="B27" s="19" t="s">
        <v>28</v>
      </c>
      <c r="C27" s="19" t="s">
        <v>117</v>
      </c>
      <c r="D27" s="17" t="s">
        <v>392</v>
      </c>
      <c r="E27" s="19" t="s">
        <v>110</v>
      </c>
      <c r="F27" s="19" t="s">
        <v>442</v>
      </c>
      <c r="G27" s="19" t="s">
        <v>119</v>
      </c>
      <c r="H27" s="42" t="s">
        <v>120</v>
      </c>
      <c r="I27" s="19">
        <v>38733209044</v>
      </c>
      <c r="J27" s="19" t="s">
        <v>121</v>
      </c>
      <c r="K27" s="19" t="s">
        <v>122</v>
      </c>
      <c r="L27" s="19"/>
      <c r="M27" s="19" t="s">
        <v>443</v>
      </c>
      <c r="N27" s="19"/>
      <c r="O27" s="19"/>
      <c r="P27" s="38" t="s">
        <v>433</v>
      </c>
      <c r="Q27" s="45"/>
    </row>
    <row r="28" spans="1:17" s="46" customFormat="1" ht="51.6" customHeight="1">
      <c r="A28" s="17">
        <v>26</v>
      </c>
      <c r="B28" s="18" t="s">
        <v>65</v>
      </c>
      <c r="C28" s="18" t="s">
        <v>341</v>
      </c>
      <c r="D28" s="18" t="s">
        <v>60</v>
      </c>
      <c r="E28" s="18" t="s">
        <v>110</v>
      </c>
      <c r="F28" s="18" t="s">
        <v>312</v>
      </c>
      <c r="G28" s="18" t="s">
        <v>313</v>
      </c>
      <c r="H28" s="37" t="s">
        <v>314</v>
      </c>
      <c r="I28" s="18">
        <v>38733777260</v>
      </c>
      <c r="J28" s="37" t="s">
        <v>315</v>
      </c>
      <c r="K28" s="18" t="s">
        <v>444</v>
      </c>
      <c r="L28" s="18" t="s">
        <v>445</v>
      </c>
      <c r="M28" s="18" t="s">
        <v>344</v>
      </c>
      <c r="N28" s="18"/>
      <c r="O28" s="18" t="s">
        <v>345</v>
      </c>
      <c r="P28" s="38" t="s">
        <v>433</v>
      </c>
      <c r="Q28" s="45"/>
    </row>
    <row r="29" spans="1:17" s="46" customFormat="1" ht="33.6" customHeight="1">
      <c r="A29" s="17">
        <v>27</v>
      </c>
      <c r="B29" s="17" t="s">
        <v>66</v>
      </c>
      <c r="C29" s="17" t="s">
        <v>322</v>
      </c>
      <c r="D29" s="17" t="s">
        <v>60</v>
      </c>
      <c r="E29" s="17" t="s">
        <v>110</v>
      </c>
      <c r="F29" s="17" t="s">
        <v>284</v>
      </c>
      <c r="G29" s="17" t="s">
        <v>285</v>
      </c>
      <c r="H29" s="56" t="s">
        <v>323</v>
      </c>
      <c r="I29" s="17">
        <v>38733562379</v>
      </c>
      <c r="J29" s="17" t="s">
        <v>332</v>
      </c>
      <c r="K29" s="17"/>
      <c r="L29" s="17" t="s">
        <v>346</v>
      </c>
      <c r="M29" s="17" t="s">
        <v>347</v>
      </c>
      <c r="N29" s="47" t="s">
        <v>348</v>
      </c>
      <c r="O29" s="17" t="s">
        <v>328</v>
      </c>
      <c r="P29" s="38" t="s">
        <v>433</v>
      </c>
      <c r="Q29" s="45"/>
    </row>
    <row r="30" spans="1:17" s="46" customFormat="1" ht="33.6" customHeight="1">
      <c r="A30" s="17">
        <v>28</v>
      </c>
      <c r="B30" s="18" t="s">
        <v>67</v>
      </c>
      <c r="C30" s="18" t="s">
        <v>322</v>
      </c>
      <c r="D30" s="18" t="s">
        <v>60</v>
      </c>
      <c r="E30" s="18" t="s">
        <v>110</v>
      </c>
      <c r="F30" s="18" t="s">
        <v>284</v>
      </c>
      <c r="G30" s="18" t="s">
        <v>285</v>
      </c>
      <c r="H30" s="43" t="s">
        <v>323</v>
      </c>
      <c r="I30" s="18">
        <v>38733562379</v>
      </c>
      <c r="J30" s="18" t="s">
        <v>332</v>
      </c>
      <c r="K30" s="18"/>
      <c r="L30" s="18" t="s">
        <v>346</v>
      </c>
      <c r="M30" s="18" t="s">
        <v>347</v>
      </c>
      <c r="N30" s="37" t="s">
        <v>349</v>
      </c>
      <c r="O30" s="18" t="s">
        <v>328</v>
      </c>
      <c r="P30" s="38" t="s">
        <v>433</v>
      </c>
      <c r="Q30" s="45"/>
    </row>
    <row r="31" spans="1:17" s="46" customFormat="1" ht="33.6" customHeight="1">
      <c r="A31" s="17">
        <v>29</v>
      </c>
      <c r="B31" s="27" t="s">
        <v>38</v>
      </c>
      <c r="C31" s="19" t="s">
        <v>221</v>
      </c>
      <c r="D31" s="19" t="s">
        <v>387</v>
      </c>
      <c r="E31" s="27" t="s">
        <v>222</v>
      </c>
      <c r="F31" s="19" t="s">
        <v>173</v>
      </c>
      <c r="G31" s="19" t="s">
        <v>223</v>
      </c>
      <c r="H31" s="42" t="s">
        <v>224</v>
      </c>
      <c r="I31" s="19">
        <v>38733775723</v>
      </c>
      <c r="J31" s="42" t="s">
        <v>225</v>
      </c>
      <c r="K31" s="19" t="s">
        <v>226</v>
      </c>
      <c r="L31" s="27" t="s">
        <v>227</v>
      </c>
      <c r="M31" s="19" t="s">
        <v>446</v>
      </c>
      <c r="N31" s="42" t="s">
        <v>229</v>
      </c>
      <c r="O31" s="19"/>
      <c r="P31" s="38" t="s">
        <v>433</v>
      </c>
      <c r="Q31" s="45"/>
    </row>
    <row r="32" spans="1:17" s="46" customFormat="1" ht="33.6" customHeight="1">
      <c r="A32" s="17">
        <v>29</v>
      </c>
      <c r="B32" s="27" t="s">
        <v>38</v>
      </c>
      <c r="C32" s="28" t="s">
        <v>283</v>
      </c>
      <c r="D32" s="29" t="s">
        <v>51</v>
      </c>
      <c r="E32" s="27" t="s">
        <v>222</v>
      </c>
      <c r="F32" s="21" t="s">
        <v>284</v>
      </c>
      <c r="G32" s="18" t="s">
        <v>285</v>
      </c>
      <c r="H32" s="57" t="s">
        <v>286</v>
      </c>
      <c r="I32" s="21">
        <v>38733562472</v>
      </c>
      <c r="J32" s="41" t="s">
        <v>287</v>
      </c>
      <c r="K32" s="21" t="s">
        <v>226</v>
      </c>
      <c r="L32" s="27" t="s">
        <v>227</v>
      </c>
      <c r="M32" s="21" t="s">
        <v>288</v>
      </c>
      <c r="N32" s="41" t="s">
        <v>289</v>
      </c>
      <c r="O32" s="21"/>
      <c r="P32" s="38" t="s">
        <v>433</v>
      </c>
      <c r="Q32" s="45"/>
    </row>
    <row r="33" spans="1:17" s="46" customFormat="1" ht="33.6" customHeight="1">
      <c r="A33" s="17">
        <v>29</v>
      </c>
      <c r="B33" s="27" t="s">
        <v>38</v>
      </c>
      <c r="C33" s="19" t="s">
        <v>290</v>
      </c>
      <c r="D33" s="29" t="s">
        <v>51</v>
      </c>
      <c r="E33" s="27" t="s">
        <v>222</v>
      </c>
      <c r="F33" s="19" t="s">
        <v>212</v>
      </c>
      <c r="G33" s="19" t="s">
        <v>213</v>
      </c>
      <c r="H33" s="42" t="s">
        <v>214</v>
      </c>
      <c r="I33" s="19">
        <v>38733291190</v>
      </c>
      <c r="J33" s="19" t="s">
        <v>215</v>
      </c>
      <c r="K33" s="19" t="s">
        <v>226</v>
      </c>
      <c r="L33" s="27" t="s">
        <v>227</v>
      </c>
      <c r="M33" s="19" t="s">
        <v>291</v>
      </c>
      <c r="N33" s="42" t="s">
        <v>292</v>
      </c>
      <c r="O33" s="19"/>
      <c r="P33" s="38" t="s">
        <v>433</v>
      </c>
      <c r="Q33" s="45"/>
    </row>
    <row r="34" spans="1:17" s="46" customFormat="1" ht="91.5" customHeight="1">
      <c r="A34" s="17">
        <v>30</v>
      </c>
      <c r="B34" s="18" t="s">
        <v>70</v>
      </c>
      <c r="C34" s="18" t="s">
        <v>350</v>
      </c>
      <c r="D34" s="18" t="s">
        <v>60</v>
      </c>
      <c r="E34" s="18" t="s">
        <v>88</v>
      </c>
      <c r="F34" s="18" t="s">
        <v>434</v>
      </c>
      <c r="G34" s="18"/>
      <c r="H34" s="18"/>
      <c r="I34" s="18"/>
      <c r="J34" s="18"/>
      <c r="K34" s="18" t="s">
        <v>447</v>
      </c>
      <c r="L34" s="18" t="s">
        <v>448</v>
      </c>
      <c r="M34" s="18" t="s">
        <v>449</v>
      </c>
      <c r="N34" s="18"/>
      <c r="O34" s="18" t="s">
        <v>354</v>
      </c>
      <c r="P34" s="38" t="s">
        <v>433</v>
      </c>
      <c r="Q34" s="45"/>
    </row>
    <row r="35" spans="1:17" s="46" customFormat="1" ht="52.5">
      <c r="A35" s="17">
        <v>31</v>
      </c>
      <c r="B35" s="19" t="s">
        <v>3</v>
      </c>
      <c r="C35" s="19" t="s">
        <v>168</v>
      </c>
      <c r="D35" s="19" t="s">
        <v>408</v>
      </c>
      <c r="E35" s="19" t="s">
        <v>88</v>
      </c>
      <c r="F35" s="19" t="s">
        <v>169</v>
      </c>
      <c r="G35" s="19" t="s">
        <v>170</v>
      </c>
      <c r="H35" s="42"/>
      <c r="I35" s="19">
        <v>38733285261</v>
      </c>
      <c r="J35" s="42"/>
      <c r="K35" s="19"/>
      <c r="L35" s="19" t="s">
        <v>171</v>
      </c>
      <c r="M35" s="42"/>
      <c r="N35" s="42"/>
      <c r="O35" s="58"/>
      <c r="P35" s="58" t="s">
        <v>450</v>
      </c>
      <c r="Q35" s="45"/>
    </row>
    <row r="36" spans="1:17" s="46" customFormat="1" ht="86.45" customHeight="1">
      <c r="A36" s="17">
        <v>32</v>
      </c>
      <c r="B36" s="20" t="s">
        <v>52</v>
      </c>
      <c r="C36" s="20" t="s">
        <v>293</v>
      </c>
      <c r="D36" s="17" t="s">
        <v>51</v>
      </c>
      <c r="E36" s="19" t="s">
        <v>222</v>
      </c>
      <c r="F36" s="19" t="s">
        <v>294</v>
      </c>
      <c r="G36" s="19" t="s">
        <v>295</v>
      </c>
      <c r="H36" s="42" t="s">
        <v>296</v>
      </c>
      <c r="I36" s="20">
        <v>38733562128</v>
      </c>
      <c r="J36" s="42" t="s">
        <v>297</v>
      </c>
      <c r="K36" s="19" t="s">
        <v>298</v>
      </c>
      <c r="L36" s="20" t="s">
        <v>299</v>
      </c>
      <c r="M36" s="42" t="s">
        <v>300</v>
      </c>
      <c r="N36" s="42" t="s">
        <v>301</v>
      </c>
      <c r="O36" s="58"/>
      <c r="P36" s="58" t="s">
        <v>450</v>
      </c>
      <c r="Q36" s="45"/>
    </row>
    <row r="37" spans="1:17" s="46" customFormat="1" ht="111.6" customHeight="1">
      <c r="A37" s="17">
        <v>33</v>
      </c>
      <c r="B37" s="19" t="s">
        <v>30</v>
      </c>
      <c r="C37" s="19" t="s">
        <v>159</v>
      </c>
      <c r="D37" s="17" t="s">
        <v>412</v>
      </c>
      <c r="E37" s="19" t="s">
        <v>88</v>
      </c>
      <c r="F37" s="19"/>
      <c r="G37" s="19"/>
      <c r="H37" s="42"/>
      <c r="I37" s="19"/>
      <c r="J37" s="42"/>
      <c r="K37" s="19" t="s">
        <v>160</v>
      </c>
      <c r="L37" s="19"/>
      <c r="M37" s="42"/>
      <c r="N37" s="42"/>
      <c r="O37" s="58"/>
      <c r="P37" s="58" t="s">
        <v>450</v>
      </c>
      <c r="Q37" s="45"/>
    </row>
    <row r="38" spans="1:17" s="46" customFormat="1" ht="61.5" customHeight="1">
      <c r="A38" s="17">
        <v>34</v>
      </c>
      <c r="B38" s="19" t="s">
        <v>6</v>
      </c>
      <c r="C38" s="19" t="s">
        <v>172</v>
      </c>
      <c r="D38" s="19" t="s">
        <v>408</v>
      </c>
      <c r="E38" s="19" t="s">
        <v>451</v>
      </c>
      <c r="F38" s="19" t="s">
        <v>173</v>
      </c>
      <c r="G38" s="19" t="s">
        <v>174</v>
      </c>
      <c r="H38" s="42" t="s">
        <v>175</v>
      </c>
      <c r="I38" s="64">
        <v>387733637384</v>
      </c>
      <c r="J38" s="42" t="s">
        <v>176</v>
      </c>
      <c r="K38" s="19" t="s">
        <v>177</v>
      </c>
      <c r="L38" s="19" t="s">
        <v>178</v>
      </c>
      <c r="M38" s="19" t="s">
        <v>179</v>
      </c>
      <c r="N38" s="59" t="s">
        <v>180</v>
      </c>
      <c r="O38" s="58"/>
      <c r="P38" s="58" t="s">
        <v>450</v>
      </c>
      <c r="Q38" s="45"/>
    </row>
    <row r="39" spans="1:17" s="46" customFormat="1" ht="33.75">
      <c r="A39" s="17">
        <v>35</v>
      </c>
      <c r="B39" s="19" t="s">
        <v>61</v>
      </c>
      <c r="C39" s="19" t="s">
        <v>355</v>
      </c>
      <c r="D39" s="17" t="s">
        <v>60</v>
      </c>
      <c r="E39" s="19" t="s">
        <v>452</v>
      </c>
      <c r="F39" s="19" t="s">
        <v>173</v>
      </c>
      <c r="G39" s="19" t="s">
        <v>174</v>
      </c>
      <c r="H39" s="42"/>
      <c r="I39" s="64">
        <v>387733637384</v>
      </c>
      <c r="J39" s="42" t="s">
        <v>176</v>
      </c>
      <c r="K39" s="19" t="s">
        <v>356</v>
      </c>
      <c r="L39" s="19" t="s">
        <v>301</v>
      </c>
      <c r="M39" s="19" t="s">
        <v>301</v>
      </c>
      <c r="N39" s="19" t="s">
        <v>301</v>
      </c>
      <c r="O39" s="58"/>
      <c r="P39" s="58" t="s">
        <v>450</v>
      </c>
      <c r="Q39" s="45"/>
    </row>
    <row r="40" spans="1:17" s="46" customFormat="1" ht="52.5">
      <c r="A40" s="17">
        <v>36</v>
      </c>
      <c r="B40" s="19" t="s">
        <v>7</v>
      </c>
      <c r="C40" s="19" t="s">
        <v>181</v>
      </c>
      <c r="D40" s="19" t="s">
        <v>408</v>
      </c>
      <c r="E40" s="19" t="s">
        <v>88</v>
      </c>
      <c r="F40" s="19" t="s">
        <v>173</v>
      </c>
      <c r="G40" s="19" t="s">
        <v>174</v>
      </c>
      <c r="H40" s="59" t="s">
        <v>180</v>
      </c>
      <c r="I40" s="64">
        <v>387733637384</v>
      </c>
      <c r="J40" s="42" t="s">
        <v>176</v>
      </c>
      <c r="K40" s="19" t="s">
        <v>182</v>
      </c>
      <c r="L40" s="59" t="s">
        <v>180</v>
      </c>
      <c r="M40" s="59" t="s">
        <v>180</v>
      </c>
      <c r="N40" s="59" t="s">
        <v>180</v>
      </c>
      <c r="O40" s="58"/>
      <c r="P40" s="58" t="s">
        <v>450</v>
      </c>
      <c r="Q40" s="45"/>
    </row>
    <row r="41" spans="1:17" s="46" customFormat="1" ht="144" customHeight="1">
      <c r="A41" s="17">
        <v>37</v>
      </c>
      <c r="B41" s="19" t="s">
        <v>43</v>
      </c>
      <c r="C41" s="19" t="s">
        <v>275</v>
      </c>
      <c r="D41" s="19"/>
      <c r="E41" s="19"/>
      <c r="F41" s="19" t="s">
        <v>276</v>
      </c>
      <c r="G41" s="19" t="s">
        <v>277</v>
      </c>
      <c r="H41" s="42"/>
      <c r="I41" s="19"/>
      <c r="J41" s="42"/>
      <c r="K41" s="19"/>
      <c r="L41" s="19" t="s">
        <v>278</v>
      </c>
      <c r="M41" s="19" t="s">
        <v>279</v>
      </c>
      <c r="N41" s="42"/>
      <c r="O41" s="58"/>
      <c r="P41" s="58" t="s">
        <v>450</v>
      </c>
      <c r="Q41" s="45"/>
    </row>
    <row r="42" spans="1:17" s="46" customFormat="1" ht="158.44999999999999" customHeight="1">
      <c r="A42" s="17">
        <v>38</v>
      </c>
      <c r="B42" s="19" t="s">
        <v>44</v>
      </c>
      <c r="C42" s="19" t="s">
        <v>270</v>
      </c>
      <c r="D42" s="19" t="s">
        <v>416</v>
      </c>
      <c r="E42" s="19" t="s">
        <v>453</v>
      </c>
      <c r="F42" s="19" t="s">
        <v>272</v>
      </c>
      <c r="G42" s="19"/>
      <c r="H42" s="42"/>
      <c r="I42" s="19"/>
      <c r="J42" s="42"/>
      <c r="K42" s="19"/>
      <c r="L42" s="19" t="s">
        <v>273</v>
      </c>
      <c r="M42" s="30" t="s">
        <v>274</v>
      </c>
      <c r="N42" s="42"/>
      <c r="O42" s="58"/>
      <c r="P42" s="58" t="s">
        <v>450</v>
      </c>
      <c r="Q42" s="45"/>
    </row>
    <row r="43" spans="1:17" s="46" customFormat="1" ht="52.5">
      <c r="A43" s="17">
        <v>39</v>
      </c>
      <c r="B43" s="19" t="s">
        <v>12</v>
      </c>
      <c r="C43" s="19" t="s">
        <v>183</v>
      </c>
      <c r="D43" s="19" t="s">
        <v>408</v>
      </c>
      <c r="E43" s="19" t="s">
        <v>88</v>
      </c>
      <c r="F43" s="19" t="s">
        <v>184</v>
      </c>
      <c r="G43" s="19"/>
      <c r="H43" s="42"/>
      <c r="I43" s="19"/>
      <c r="J43" s="42"/>
      <c r="K43" s="19"/>
      <c r="L43" s="19"/>
      <c r="M43" s="42"/>
      <c r="N43" s="42"/>
      <c r="O43" s="58"/>
      <c r="P43" s="58" t="s">
        <v>450</v>
      </c>
      <c r="Q43" s="45"/>
    </row>
    <row r="44" spans="1:17" s="46" customFormat="1" ht="84">
      <c r="A44" s="17">
        <v>40</v>
      </c>
      <c r="B44" s="19" t="s">
        <v>13</v>
      </c>
      <c r="C44" s="19" t="s">
        <v>185</v>
      </c>
      <c r="D44" s="19" t="s">
        <v>408</v>
      </c>
      <c r="E44" s="19"/>
      <c r="F44" s="19" t="s">
        <v>187</v>
      </c>
      <c r="G44" s="19" t="s">
        <v>188</v>
      </c>
      <c r="H44" s="42" t="s">
        <v>189</v>
      </c>
      <c r="I44" s="19">
        <v>38733653093</v>
      </c>
      <c r="J44" s="42"/>
      <c r="K44" s="19"/>
      <c r="L44" s="19"/>
      <c r="M44" s="19"/>
      <c r="N44" s="42"/>
      <c r="O44" s="58"/>
      <c r="P44" s="58" t="s">
        <v>450</v>
      </c>
      <c r="Q44" s="45"/>
    </row>
    <row r="45" spans="1:17" s="46" customFormat="1" ht="104.45" customHeight="1">
      <c r="A45" s="17">
        <v>41</v>
      </c>
      <c r="B45" s="19" t="s">
        <v>14</v>
      </c>
      <c r="C45" s="19" t="s">
        <v>190</v>
      </c>
      <c r="D45" s="19" t="s">
        <v>408</v>
      </c>
      <c r="E45" s="19" t="s">
        <v>191</v>
      </c>
      <c r="F45" s="19" t="s">
        <v>192</v>
      </c>
      <c r="G45" s="19"/>
      <c r="H45" s="42"/>
      <c r="I45" s="19"/>
      <c r="J45" s="42"/>
      <c r="K45" s="19" t="s">
        <v>193</v>
      </c>
      <c r="L45" s="19"/>
      <c r="M45" s="19" t="s">
        <v>194</v>
      </c>
      <c r="N45" s="42"/>
      <c r="O45" s="58"/>
      <c r="P45" s="58" t="s">
        <v>450</v>
      </c>
      <c r="Q45" s="45"/>
    </row>
    <row r="46" spans="1:17" s="46" customFormat="1" ht="52.5">
      <c r="A46" s="17">
        <v>42</v>
      </c>
      <c r="B46" s="19" t="s">
        <v>15</v>
      </c>
      <c r="C46" s="19"/>
      <c r="D46" s="19" t="s">
        <v>408</v>
      </c>
      <c r="E46" s="19"/>
      <c r="F46" s="19" t="s">
        <v>97</v>
      </c>
      <c r="G46" s="19"/>
      <c r="H46" s="42"/>
      <c r="I46" s="19"/>
      <c r="J46" s="42"/>
      <c r="K46" s="19"/>
      <c r="L46" s="19"/>
      <c r="M46" s="42"/>
      <c r="N46" s="42"/>
      <c r="O46" s="58"/>
      <c r="P46" s="58" t="s">
        <v>450</v>
      </c>
      <c r="Q46" s="45"/>
    </row>
    <row r="47" spans="1:17" s="46" customFormat="1">
      <c r="A47" s="17">
        <v>43</v>
      </c>
      <c r="B47" s="19" t="s">
        <v>45</v>
      </c>
      <c r="C47" s="19"/>
      <c r="D47" s="19"/>
      <c r="E47" s="19"/>
      <c r="F47" s="19"/>
      <c r="G47" s="19"/>
      <c r="H47" s="42"/>
      <c r="I47" s="19"/>
      <c r="J47" s="42"/>
      <c r="K47" s="42" t="s">
        <v>280</v>
      </c>
      <c r="L47" s="19"/>
      <c r="M47" s="42"/>
      <c r="N47" s="42"/>
      <c r="O47" s="58"/>
      <c r="P47" s="58" t="s">
        <v>450</v>
      </c>
      <c r="Q47" s="45"/>
    </row>
    <row r="48" spans="1:17" s="46" customFormat="1" ht="109.5" customHeight="1">
      <c r="A48" s="17">
        <v>44</v>
      </c>
      <c r="B48" s="19" t="s">
        <v>55</v>
      </c>
      <c r="C48" s="19" t="s">
        <v>302</v>
      </c>
      <c r="D48" s="17" t="s">
        <v>51</v>
      </c>
      <c r="E48" s="58"/>
      <c r="F48" s="58"/>
      <c r="G48" s="58"/>
      <c r="H48" s="58"/>
      <c r="I48" s="58"/>
      <c r="J48" s="58"/>
      <c r="K48" s="58"/>
      <c r="L48" s="20" t="s">
        <v>299</v>
      </c>
      <c r="M48" s="58"/>
      <c r="N48" s="58"/>
      <c r="O48" s="58"/>
      <c r="P48" s="58" t="s">
        <v>450</v>
      </c>
      <c r="Q48" s="45"/>
    </row>
    <row r="49" spans="1:17" s="46" customFormat="1" ht="99" customHeight="1">
      <c r="A49" s="17">
        <v>45</v>
      </c>
      <c r="B49" s="19" t="s">
        <v>56</v>
      </c>
      <c r="C49" s="20" t="s">
        <v>303</v>
      </c>
      <c r="D49" s="17" t="s">
        <v>51</v>
      </c>
      <c r="E49" s="19" t="s">
        <v>222</v>
      </c>
      <c r="F49" s="19" t="s">
        <v>294</v>
      </c>
      <c r="G49" s="19" t="s">
        <v>304</v>
      </c>
      <c r="H49" s="42" t="s">
        <v>296</v>
      </c>
      <c r="I49" s="20">
        <v>38733562128</v>
      </c>
      <c r="J49" s="42" t="s">
        <v>297</v>
      </c>
      <c r="K49" s="19" t="s">
        <v>298</v>
      </c>
      <c r="L49" s="20" t="s">
        <v>299</v>
      </c>
      <c r="M49" s="42" t="s">
        <v>300</v>
      </c>
      <c r="N49" s="42" t="s">
        <v>301</v>
      </c>
      <c r="O49" s="58"/>
      <c r="P49" s="58" t="s">
        <v>450</v>
      </c>
      <c r="Q49" s="45"/>
    </row>
    <row r="50" spans="1:17" s="46" customFormat="1" ht="29.45" customHeight="1">
      <c r="A50" s="17">
        <v>46</v>
      </c>
      <c r="B50" s="19" t="s">
        <v>18</v>
      </c>
      <c r="C50" s="19"/>
      <c r="D50" s="17" t="s">
        <v>2</v>
      </c>
      <c r="E50" s="19"/>
      <c r="F50" s="19" t="s">
        <v>97</v>
      </c>
      <c r="G50" s="19"/>
      <c r="H50" s="42"/>
      <c r="I50" s="19"/>
      <c r="J50" s="42"/>
      <c r="K50" s="19"/>
      <c r="L50" s="19"/>
      <c r="M50" s="42"/>
      <c r="N50" s="42"/>
      <c r="O50" s="58"/>
      <c r="P50" s="58" t="s">
        <v>450</v>
      </c>
      <c r="Q50" s="45"/>
    </row>
    <row r="51" spans="1:17" s="46" customFormat="1" ht="123.75">
      <c r="A51" s="17">
        <v>47</v>
      </c>
      <c r="B51" s="19" t="s">
        <v>36</v>
      </c>
      <c r="C51" s="19" t="s">
        <v>232</v>
      </c>
      <c r="D51" s="17" t="s">
        <v>422</v>
      </c>
      <c r="E51" s="19" t="s">
        <v>88</v>
      </c>
      <c r="F51" s="19" t="s">
        <v>233</v>
      </c>
      <c r="G51" s="19" t="s">
        <v>234</v>
      </c>
      <c r="H51" s="42" t="s">
        <v>235</v>
      </c>
      <c r="I51" s="19">
        <v>38733214249</v>
      </c>
      <c r="J51" s="42"/>
      <c r="K51" s="19"/>
      <c r="L51" s="19"/>
      <c r="M51" s="42" t="s">
        <v>235</v>
      </c>
      <c r="N51" s="42" t="s">
        <v>235</v>
      </c>
      <c r="O51" s="58"/>
      <c r="P51" s="58" t="s">
        <v>450</v>
      </c>
      <c r="Q51" s="45"/>
    </row>
    <row r="52" spans="1:17" s="46" customFormat="1" ht="31.5">
      <c r="A52" s="17">
        <v>48</v>
      </c>
      <c r="B52" s="19" t="s">
        <v>37</v>
      </c>
      <c r="C52" s="19" t="s">
        <v>230</v>
      </c>
      <c r="D52" s="19" t="s">
        <v>423</v>
      </c>
      <c r="E52" s="19" t="s">
        <v>222</v>
      </c>
      <c r="F52" s="19" t="s">
        <v>231</v>
      </c>
      <c r="G52" s="19"/>
      <c r="H52" s="58"/>
      <c r="I52" s="58"/>
      <c r="J52" s="58"/>
      <c r="K52" s="58"/>
      <c r="L52" s="58"/>
      <c r="M52" s="58"/>
      <c r="N52" s="58"/>
      <c r="O52" s="58"/>
      <c r="P52" s="58" t="s">
        <v>450</v>
      </c>
      <c r="Q52" s="45"/>
    </row>
    <row r="53" spans="1:17" s="46" customFormat="1" ht="71.45" customHeight="1">
      <c r="A53" s="17">
        <v>49</v>
      </c>
      <c r="B53" s="19" t="s">
        <v>29</v>
      </c>
      <c r="C53" s="19" t="s">
        <v>161</v>
      </c>
      <c r="D53" s="17" t="s">
        <v>412</v>
      </c>
      <c r="E53" s="19" t="s">
        <v>88</v>
      </c>
      <c r="F53" s="19" t="s">
        <v>97</v>
      </c>
      <c r="G53" s="19"/>
      <c r="H53" s="42"/>
      <c r="I53" s="19"/>
      <c r="J53" s="42"/>
      <c r="K53" s="19" t="s">
        <v>162</v>
      </c>
      <c r="L53" s="19"/>
      <c r="M53" s="42"/>
      <c r="N53" s="42"/>
      <c r="O53" s="58"/>
      <c r="P53" s="58" t="s">
        <v>450</v>
      </c>
      <c r="Q53" s="45"/>
    </row>
    <row r="54" spans="1:17" ht="52.5">
      <c r="A54" s="17">
        <v>50</v>
      </c>
      <c r="B54" s="19" t="s">
        <v>31</v>
      </c>
      <c r="C54" s="19" t="s">
        <v>163</v>
      </c>
      <c r="D54" s="17" t="s">
        <v>412</v>
      </c>
      <c r="E54" s="19" t="s">
        <v>110</v>
      </c>
      <c r="F54" s="19" t="s">
        <v>164</v>
      </c>
      <c r="G54" s="19"/>
      <c r="H54" s="42"/>
      <c r="I54" s="19"/>
      <c r="J54" s="42"/>
      <c r="K54" s="19"/>
      <c r="L54" s="19"/>
      <c r="M54" s="42"/>
      <c r="N54" s="42"/>
      <c r="O54" s="58"/>
      <c r="P54" s="58" t="s">
        <v>450</v>
      </c>
    </row>
    <row r="55" spans="1:17" ht="74.099999999999994" customHeight="1">
      <c r="A55" s="17">
        <v>51</v>
      </c>
      <c r="B55" s="19" t="s">
        <v>54</v>
      </c>
      <c r="C55" s="19" t="s">
        <v>305</v>
      </c>
      <c r="D55" s="19" t="s">
        <v>51</v>
      </c>
      <c r="E55" s="58"/>
      <c r="F55" s="58"/>
      <c r="G55" s="58"/>
      <c r="H55" s="42"/>
      <c r="I55" s="58"/>
      <c r="J55" s="58"/>
      <c r="K55" s="19" t="s">
        <v>306</v>
      </c>
      <c r="L55" s="58"/>
      <c r="M55" s="58"/>
      <c r="N55" s="58"/>
      <c r="O55" s="58"/>
      <c r="P55" s="58" t="s">
        <v>454</v>
      </c>
    </row>
    <row r="56" spans="1:17" ht="102.6" customHeight="1">
      <c r="A56" s="17">
        <v>52</v>
      </c>
      <c r="B56" s="19" t="s">
        <v>16</v>
      </c>
      <c r="C56" s="19" t="s">
        <v>195</v>
      </c>
      <c r="D56" s="19" t="s">
        <v>408</v>
      </c>
      <c r="E56" s="58"/>
      <c r="F56" s="58"/>
      <c r="G56" s="58"/>
      <c r="H56" s="61" t="s">
        <v>196</v>
      </c>
      <c r="I56" s="58"/>
      <c r="J56" s="58"/>
      <c r="K56" s="19" t="s">
        <v>197</v>
      </c>
      <c r="L56" s="58"/>
      <c r="M56" s="58"/>
      <c r="N56" s="58"/>
      <c r="O56" s="58"/>
      <c r="P56" s="58" t="s">
        <v>454</v>
      </c>
    </row>
    <row r="57" spans="1:17" ht="66.95" customHeight="1">
      <c r="A57" s="17">
        <v>53</v>
      </c>
      <c r="B57" s="19" t="s">
        <v>19</v>
      </c>
      <c r="C57" s="19" t="s">
        <v>165</v>
      </c>
      <c r="D57" s="19" t="s">
        <v>426</v>
      </c>
      <c r="E57" s="58"/>
      <c r="F57" s="58"/>
      <c r="G57" s="58"/>
      <c r="H57" s="58"/>
      <c r="I57" s="58"/>
      <c r="J57" s="58"/>
      <c r="K57" s="19" t="s">
        <v>166</v>
      </c>
      <c r="L57" s="58"/>
      <c r="M57" s="58"/>
      <c r="N57" s="58"/>
      <c r="O57" s="58"/>
      <c r="P57" s="58" t="s">
        <v>454</v>
      </c>
    </row>
    <row r="58" spans="1:17" ht="69.599999999999994" customHeight="1">
      <c r="A58" s="17">
        <v>54</v>
      </c>
      <c r="B58" s="19" t="s">
        <v>57</v>
      </c>
      <c r="C58" s="19" t="s">
        <v>307</v>
      </c>
      <c r="D58" s="19" t="s">
        <v>51</v>
      </c>
      <c r="E58" s="58"/>
      <c r="F58" s="58"/>
      <c r="G58" s="58"/>
      <c r="H58" s="19"/>
      <c r="I58" s="58"/>
      <c r="J58" s="58"/>
      <c r="K58" s="19" t="s">
        <v>308</v>
      </c>
      <c r="L58" s="58"/>
      <c r="M58" s="58"/>
      <c r="N58" s="58"/>
      <c r="O58" s="58"/>
      <c r="P58" s="58" t="s">
        <v>454</v>
      </c>
    </row>
    <row r="59" spans="1:17" ht="93" customHeight="1">
      <c r="A59" s="17">
        <v>55</v>
      </c>
      <c r="B59" s="19" t="s">
        <v>48</v>
      </c>
      <c r="C59" s="19" t="s">
        <v>251</v>
      </c>
      <c r="D59" s="19" t="s">
        <v>40</v>
      </c>
      <c r="E59" s="58"/>
      <c r="F59" s="58"/>
      <c r="G59" s="58"/>
      <c r="H59" s="42"/>
      <c r="I59" s="58"/>
      <c r="J59" s="58"/>
      <c r="K59" s="19" t="s">
        <v>252</v>
      </c>
      <c r="L59" s="58"/>
      <c r="M59" s="58"/>
      <c r="N59" s="58"/>
      <c r="O59" s="58"/>
      <c r="P59" s="58" t="s">
        <v>454</v>
      </c>
    </row>
    <row r="60" spans="1:17" ht="83.1" customHeight="1">
      <c r="A60" s="17">
        <v>56</v>
      </c>
      <c r="B60" s="19" t="s">
        <v>58</v>
      </c>
      <c r="C60" s="19" t="s">
        <v>309</v>
      </c>
      <c r="D60" s="19" t="s">
        <v>51</v>
      </c>
      <c r="E60" s="58"/>
      <c r="F60" s="58"/>
      <c r="G60" s="58"/>
      <c r="H60" s="42"/>
      <c r="I60" s="58"/>
      <c r="J60" s="58"/>
      <c r="K60" s="19" t="s">
        <v>310</v>
      </c>
      <c r="L60" s="58"/>
      <c r="M60" s="58"/>
      <c r="N60" s="58"/>
      <c r="O60" s="58"/>
      <c r="P60" s="58" t="s">
        <v>454</v>
      </c>
    </row>
    <row r="61" spans="1:17" ht="66.95" customHeight="1">
      <c r="A61" s="17">
        <v>57</v>
      </c>
      <c r="B61" s="19" t="s">
        <v>49</v>
      </c>
      <c r="C61" s="19" t="s">
        <v>253</v>
      </c>
      <c r="D61" s="19" t="s">
        <v>40</v>
      </c>
      <c r="E61" s="58"/>
      <c r="F61" s="58"/>
      <c r="G61" s="58"/>
      <c r="H61" s="19"/>
      <c r="I61" s="58"/>
      <c r="J61" s="58"/>
      <c r="K61" s="19" t="s">
        <v>254</v>
      </c>
      <c r="L61" s="58"/>
      <c r="M61" s="58"/>
      <c r="N61" s="58"/>
      <c r="O61" s="58"/>
      <c r="P61" s="58" t="s">
        <v>454</v>
      </c>
    </row>
    <row r="62" spans="1:17" ht="77.099999999999994" customHeight="1">
      <c r="A62" s="17">
        <v>58</v>
      </c>
      <c r="B62" s="19" t="s">
        <v>22</v>
      </c>
      <c r="C62" s="19" t="s">
        <v>198</v>
      </c>
      <c r="D62" s="19" t="s">
        <v>408</v>
      </c>
      <c r="E62" s="58"/>
      <c r="F62" s="58"/>
      <c r="G62" s="58"/>
      <c r="H62" s="19"/>
      <c r="I62" s="58"/>
      <c r="J62" s="58"/>
      <c r="K62" s="19" t="s">
        <v>200</v>
      </c>
      <c r="L62" s="58"/>
      <c r="M62" s="58"/>
      <c r="N62" s="58"/>
      <c r="O62" s="58"/>
      <c r="P62" s="58" t="s">
        <v>454</v>
      </c>
    </row>
    <row r="63" spans="1:17" ht="99.6" customHeight="1">
      <c r="A63" s="17">
        <v>59</v>
      </c>
      <c r="B63" s="20" t="s">
        <v>23</v>
      </c>
      <c r="C63" s="20" t="s">
        <v>201</v>
      </c>
      <c r="D63" s="19" t="s">
        <v>408</v>
      </c>
      <c r="E63" s="58"/>
      <c r="F63" s="58"/>
      <c r="G63" s="58"/>
      <c r="H63" s="19"/>
      <c r="I63" s="58"/>
      <c r="J63" s="58"/>
      <c r="K63" s="19" t="s">
        <v>202</v>
      </c>
      <c r="L63" s="58"/>
      <c r="M63" s="58"/>
      <c r="N63" s="58"/>
      <c r="O63" s="58"/>
      <c r="P63" s="58" t="s">
        <v>454</v>
      </c>
    </row>
    <row r="64" spans="1:17" ht="72" customHeight="1">
      <c r="A64" s="17">
        <v>60</v>
      </c>
      <c r="B64" s="19" t="s">
        <v>24</v>
      </c>
      <c r="C64" s="19"/>
      <c r="D64" s="19" t="s">
        <v>408</v>
      </c>
      <c r="E64" s="58"/>
      <c r="F64" s="58"/>
      <c r="G64" s="58"/>
      <c r="H64" s="42"/>
      <c r="I64" s="58"/>
      <c r="J64" s="58"/>
      <c r="K64" s="19"/>
      <c r="L64" s="58"/>
      <c r="M64" s="58"/>
      <c r="N64" s="58"/>
      <c r="O64" s="58"/>
      <c r="P64" s="58" t="s">
        <v>454</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5546875" defaultRowHeight="15"/>
  <cols>
    <col min="1" max="1" width="14.42578125" bestFit="1" customWidth="1"/>
    <col min="2" max="2" width="15.85546875" bestFit="1" customWidth="1"/>
    <col min="3" max="3" width="23" bestFit="1" customWidth="1"/>
    <col min="4" max="4" width="19" customWidth="1"/>
  </cols>
  <sheetData>
    <row r="1" spans="1:9">
      <c r="A1" s="1" t="s">
        <v>455</v>
      </c>
      <c r="B1" s="1" t="s">
        <v>456</v>
      </c>
      <c r="C1" s="1" t="s">
        <v>457</v>
      </c>
      <c r="D1" s="1" t="s">
        <v>0</v>
      </c>
      <c r="E1" s="1" t="s">
        <v>2</v>
      </c>
      <c r="F1" s="1" t="s">
        <v>458</v>
      </c>
      <c r="G1" s="1" t="s">
        <v>51</v>
      </c>
      <c r="H1" s="1" t="s">
        <v>40</v>
      </c>
      <c r="I1" s="1" t="s">
        <v>60</v>
      </c>
    </row>
    <row r="2" spans="1:9" ht="94.5">
      <c r="A2" t="s">
        <v>409</v>
      </c>
      <c r="B2" t="s">
        <v>459</v>
      </c>
      <c r="C2" t="s">
        <v>88</v>
      </c>
      <c r="D2" t="s">
        <v>2</v>
      </c>
      <c r="E2" t="s">
        <v>3</v>
      </c>
      <c r="F2" t="s">
        <v>3</v>
      </c>
      <c r="G2" s="19" t="s">
        <v>3</v>
      </c>
      <c r="H2" s="19" t="s">
        <v>3</v>
      </c>
      <c r="I2" s="19" t="s">
        <v>3</v>
      </c>
    </row>
    <row r="3" spans="1:9" ht="63">
      <c r="A3" t="s">
        <v>460</v>
      </c>
      <c r="B3" t="s">
        <v>453</v>
      </c>
      <c r="C3" t="s">
        <v>222</v>
      </c>
      <c r="D3" t="s">
        <v>33</v>
      </c>
      <c r="E3" t="s">
        <v>4</v>
      </c>
      <c r="F3" t="s">
        <v>4</v>
      </c>
      <c r="G3" s="20" t="s">
        <v>52</v>
      </c>
      <c r="H3" s="19" t="s">
        <v>41</v>
      </c>
      <c r="I3" s="19" t="s">
        <v>41</v>
      </c>
    </row>
    <row r="4" spans="1:9" ht="115.5">
      <c r="A4" t="s">
        <v>461</v>
      </c>
      <c r="B4" t="s">
        <v>462</v>
      </c>
      <c r="C4" t="s">
        <v>186</v>
      </c>
      <c r="D4" t="s">
        <v>51</v>
      </c>
      <c r="E4" t="s">
        <v>5</v>
      </c>
      <c r="F4" t="s">
        <v>5</v>
      </c>
      <c r="G4" s="19" t="s">
        <v>4</v>
      </c>
      <c r="H4" s="22" t="s">
        <v>5</v>
      </c>
      <c r="I4" s="22" t="s">
        <v>5</v>
      </c>
    </row>
    <row r="5" spans="1:9" ht="115.5">
      <c r="C5" t="s">
        <v>271</v>
      </c>
      <c r="D5" t="s">
        <v>40</v>
      </c>
      <c r="E5" t="s">
        <v>6</v>
      </c>
      <c r="F5" t="s">
        <v>6</v>
      </c>
      <c r="G5" s="22" t="s">
        <v>5</v>
      </c>
      <c r="H5" s="19" t="s">
        <v>6</v>
      </c>
      <c r="I5" s="19" t="s">
        <v>6</v>
      </c>
    </row>
    <row r="6" spans="1:9" ht="94.5">
      <c r="C6" t="s">
        <v>199</v>
      </c>
      <c r="D6" t="s">
        <v>60</v>
      </c>
      <c r="E6" t="s">
        <v>7</v>
      </c>
      <c r="F6" t="s">
        <v>7</v>
      </c>
      <c r="G6" s="19" t="s">
        <v>6</v>
      </c>
      <c r="H6" s="19" t="s">
        <v>7</v>
      </c>
      <c r="I6" s="19" t="s">
        <v>61</v>
      </c>
    </row>
    <row r="7" spans="1:9" ht="94.5">
      <c r="C7" t="s">
        <v>463</v>
      </c>
      <c r="E7" t="s">
        <v>8</v>
      </c>
      <c r="F7" t="s">
        <v>8</v>
      </c>
      <c r="G7" s="19" t="s">
        <v>7</v>
      </c>
      <c r="H7" s="19" t="s">
        <v>8</v>
      </c>
      <c r="I7" s="19" t="s">
        <v>7</v>
      </c>
    </row>
    <row r="8" spans="1:9" ht="94.5">
      <c r="C8" t="s">
        <v>110</v>
      </c>
      <c r="E8" t="s">
        <v>9</v>
      </c>
      <c r="F8" t="s">
        <v>9</v>
      </c>
      <c r="G8" s="19" t="s">
        <v>8</v>
      </c>
      <c r="H8" s="19" t="s">
        <v>9</v>
      </c>
      <c r="I8" s="17" t="s">
        <v>62</v>
      </c>
    </row>
    <row r="9" spans="1:9" ht="94.5">
      <c r="C9" s="9" t="s">
        <v>100</v>
      </c>
      <c r="E9" t="s">
        <v>10</v>
      </c>
      <c r="F9" t="s">
        <v>10</v>
      </c>
      <c r="G9" s="19" t="s">
        <v>9</v>
      </c>
      <c r="H9" s="19" t="s">
        <v>10</v>
      </c>
      <c r="I9" s="19" t="s">
        <v>8</v>
      </c>
    </row>
    <row r="10" spans="1:9" ht="94.5">
      <c r="C10" t="s">
        <v>415</v>
      </c>
      <c r="E10" t="s">
        <v>11</v>
      </c>
      <c r="F10" t="s">
        <v>34</v>
      </c>
      <c r="G10" s="19" t="s">
        <v>10</v>
      </c>
      <c r="H10" s="17" t="s">
        <v>42</v>
      </c>
      <c r="I10" s="19" t="s">
        <v>9</v>
      </c>
    </row>
    <row r="11" spans="1:9" ht="84">
      <c r="E11" t="s">
        <v>12</v>
      </c>
      <c r="F11" t="s">
        <v>35</v>
      </c>
      <c r="G11" s="19" t="s">
        <v>34</v>
      </c>
      <c r="H11" s="19" t="s">
        <v>43</v>
      </c>
      <c r="I11" s="19" t="s">
        <v>10</v>
      </c>
    </row>
    <row r="12" spans="1:9" ht="115.5">
      <c r="E12" t="s">
        <v>13</v>
      </c>
      <c r="F12" t="s">
        <v>11</v>
      </c>
      <c r="G12" s="19" t="s">
        <v>35</v>
      </c>
      <c r="H12" s="19" t="s">
        <v>44</v>
      </c>
      <c r="I12" s="17" t="s">
        <v>42</v>
      </c>
    </row>
    <row r="13" spans="1:9" ht="123.75">
      <c r="E13" t="s">
        <v>14</v>
      </c>
      <c r="F13" t="s">
        <v>12</v>
      </c>
      <c r="G13" s="17" t="s">
        <v>11</v>
      </c>
      <c r="H13" s="19" t="s">
        <v>12</v>
      </c>
      <c r="I13" s="19" t="s">
        <v>43</v>
      </c>
    </row>
    <row r="14" spans="1:9" ht="115.5">
      <c r="E14" t="s">
        <v>15</v>
      </c>
      <c r="F14" t="s">
        <v>13</v>
      </c>
      <c r="G14" s="19" t="s">
        <v>44</v>
      </c>
      <c r="H14" s="19" t="s">
        <v>13</v>
      </c>
      <c r="I14" s="19" t="s">
        <v>44</v>
      </c>
    </row>
    <row r="15" spans="1:9" ht="84">
      <c r="E15" t="s">
        <v>16</v>
      </c>
      <c r="F15" t="s">
        <v>14</v>
      </c>
      <c r="G15" s="19" t="s">
        <v>12</v>
      </c>
      <c r="H15" s="19" t="s">
        <v>14</v>
      </c>
      <c r="I15" s="19" t="s">
        <v>12</v>
      </c>
    </row>
    <row r="16" spans="1:9" ht="52.5">
      <c r="E16" t="s">
        <v>17</v>
      </c>
      <c r="F16" t="s">
        <v>15</v>
      </c>
      <c r="G16" s="19" t="s">
        <v>13</v>
      </c>
      <c r="H16" s="19" t="s">
        <v>15</v>
      </c>
      <c r="I16" s="19" t="s">
        <v>13</v>
      </c>
    </row>
    <row r="17" spans="5:9" ht="90">
      <c r="E17" t="s">
        <v>18</v>
      </c>
      <c r="F17" t="s">
        <v>16</v>
      </c>
      <c r="G17" s="17" t="s">
        <v>53</v>
      </c>
      <c r="H17" s="19" t="s">
        <v>45</v>
      </c>
      <c r="I17" s="19" t="s">
        <v>14</v>
      </c>
    </row>
    <row r="18" spans="5:9" ht="84">
      <c r="E18" t="s">
        <v>19</v>
      </c>
      <c r="F18" t="s">
        <v>17</v>
      </c>
      <c r="G18" s="19" t="s">
        <v>14</v>
      </c>
      <c r="H18" s="19" t="s">
        <v>16</v>
      </c>
      <c r="I18" s="19" t="s">
        <v>15</v>
      </c>
    </row>
    <row r="19" spans="5:9" ht="101.25">
      <c r="E19" t="s">
        <v>20</v>
      </c>
      <c r="F19" t="s">
        <v>19</v>
      </c>
      <c r="G19" s="19" t="s">
        <v>15</v>
      </c>
      <c r="H19" s="17" t="s">
        <v>17</v>
      </c>
      <c r="I19" s="19" t="s">
        <v>45</v>
      </c>
    </row>
    <row r="20" spans="5:9" ht="67.5">
      <c r="E20" t="s">
        <v>21</v>
      </c>
      <c r="F20" t="s">
        <v>20</v>
      </c>
      <c r="G20" s="19" t="s">
        <v>45</v>
      </c>
      <c r="H20" s="17" t="s">
        <v>46</v>
      </c>
      <c r="I20" s="19" t="s">
        <v>16</v>
      </c>
    </row>
    <row r="21" spans="5:9" ht="189">
      <c r="E21" t="s">
        <v>22</v>
      </c>
      <c r="F21" t="s">
        <v>21</v>
      </c>
      <c r="G21" s="19" t="s">
        <v>54</v>
      </c>
      <c r="H21" s="19" t="s">
        <v>19</v>
      </c>
      <c r="I21" s="17" t="s">
        <v>17</v>
      </c>
    </row>
    <row r="22" spans="5:9" ht="409.5">
      <c r="E22" t="s">
        <v>23</v>
      </c>
      <c r="F22" t="s">
        <v>22</v>
      </c>
      <c r="G22" s="19" t="s">
        <v>55</v>
      </c>
      <c r="H22" s="19" t="s">
        <v>47</v>
      </c>
      <c r="I22" s="66" t="s">
        <v>63</v>
      </c>
    </row>
    <row r="23" spans="5:9" ht="147">
      <c r="E23" t="s">
        <v>24</v>
      </c>
      <c r="F23" t="s">
        <v>23</v>
      </c>
      <c r="G23" s="19" t="s">
        <v>56</v>
      </c>
      <c r="H23" s="19" t="s">
        <v>48</v>
      </c>
      <c r="I23" s="66" t="s">
        <v>63</v>
      </c>
    </row>
    <row r="24" spans="5:9" ht="45">
      <c r="E24" t="s">
        <v>25</v>
      </c>
      <c r="F24" t="s">
        <v>24</v>
      </c>
      <c r="G24" s="19" t="s">
        <v>16</v>
      </c>
      <c r="H24" s="17" t="s">
        <v>20</v>
      </c>
      <c r="I24" s="19" t="s">
        <v>19</v>
      </c>
    </row>
    <row r="25" spans="5:9" ht="101.25">
      <c r="E25" t="s">
        <v>26</v>
      </c>
      <c r="F25" t="s">
        <v>25</v>
      </c>
      <c r="G25" s="17" t="s">
        <v>17</v>
      </c>
      <c r="H25" s="19" t="s">
        <v>49</v>
      </c>
      <c r="I25" s="17" t="s">
        <v>20</v>
      </c>
    </row>
    <row r="26" spans="5:9" ht="33.75">
      <c r="E26" t="s">
        <v>27</v>
      </c>
      <c r="F26" t="s">
        <v>36</v>
      </c>
      <c r="G26" s="19" t="s">
        <v>19</v>
      </c>
      <c r="H26" s="17" t="s">
        <v>21</v>
      </c>
      <c r="I26" s="17" t="s">
        <v>21</v>
      </c>
    </row>
    <row r="27" spans="5:9" ht="52.5">
      <c r="E27" t="s">
        <v>28</v>
      </c>
      <c r="F27" t="s">
        <v>26</v>
      </c>
      <c r="G27" s="19" t="s">
        <v>57</v>
      </c>
      <c r="H27" s="19" t="s">
        <v>22</v>
      </c>
      <c r="I27" s="19" t="s">
        <v>22</v>
      </c>
    </row>
    <row r="28" spans="5:9" ht="84">
      <c r="E28" t="s">
        <v>29</v>
      </c>
      <c r="F28" t="s">
        <v>27</v>
      </c>
      <c r="G28" s="19" t="s">
        <v>58</v>
      </c>
      <c r="H28" s="20" t="s">
        <v>23</v>
      </c>
      <c r="I28" s="20" t="s">
        <v>23</v>
      </c>
    </row>
    <row r="29" spans="5:9" ht="94.5">
      <c r="E29" t="s">
        <v>30</v>
      </c>
      <c r="F29" t="s">
        <v>28</v>
      </c>
      <c r="G29" s="17" t="s">
        <v>20</v>
      </c>
      <c r="H29" s="19" t="s">
        <v>24</v>
      </c>
      <c r="I29" s="19" t="s">
        <v>24</v>
      </c>
    </row>
    <row r="30" spans="5:9" ht="56.25">
      <c r="E30" t="s">
        <v>31</v>
      </c>
      <c r="F30" t="s">
        <v>37</v>
      </c>
      <c r="G30" s="17" t="s">
        <v>21</v>
      </c>
      <c r="H30" s="17" t="s">
        <v>25</v>
      </c>
      <c r="I30" s="17" t="s">
        <v>25</v>
      </c>
    </row>
    <row r="31" spans="5:9" ht="52.5">
      <c r="F31" t="s">
        <v>38</v>
      </c>
      <c r="G31" s="19" t="s">
        <v>22</v>
      </c>
      <c r="H31" s="19" t="s">
        <v>26</v>
      </c>
      <c r="I31" s="19" t="s">
        <v>26</v>
      </c>
    </row>
    <row r="32" spans="5:9" ht="90">
      <c r="F32" t="s">
        <v>29</v>
      </c>
      <c r="G32" s="20" t="s">
        <v>23</v>
      </c>
      <c r="H32" s="19" t="s">
        <v>27</v>
      </c>
      <c r="I32" s="17" t="s">
        <v>64</v>
      </c>
    </row>
    <row r="33" spans="6:9" ht="94.5">
      <c r="F33" t="s">
        <v>30</v>
      </c>
      <c r="G33" s="19" t="s">
        <v>24</v>
      </c>
      <c r="I33" s="19" t="s">
        <v>27</v>
      </c>
    </row>
    <row r="34" spans="6:9" ht="90">
      <c r="F34" t="s">
        <v>31</v>
      </c>
      <c r="G34" s="17" t="s">
        <v>25</v>
      </c>
      <c r="I34" s="17" t="s">
        <v>65</v>
      </c>
    </row>
    <row r="35" spans="6:9" ht="112.5">
      <c r="G35" s="19" t="s">
        <v>36</v>
      </c>
      <c r="I35" s="17" t="s">
        <v>66</v>
      </c>
    </row>
    <row r="36" spans="6:9" ht="112.5">
      <c r="G36" s="19" t="s">
        <v>26</v>
      </c>
      <c r="I36" s="17" t="s">
        <v>67</v>
      </c>
    </row>
    <row r="37" spans="6:9" ht="101.25">
      <c r="G37" s="19" t="s">
        <v>27</v>
      </c>
      <c r="I37" s="17" t="s">
        <v>68</v>
      </c>
    </row>
    <row r="38" spans="6:9" ht="115.5">
      <c r="G38" s="19" t="s">
        <v>28</v>
      </c>
      <c r="I38" s="17" t="s">
        <v>69</v>
      </c>
    </row>
    <row r="39" spans="6:9" ht="84">
      <c r="G39" s="27" t="s">
        <v>38</v>
      </c>
      <c r="I39" s="17" t="s">
        <v>70</v>
      </c>
    </row>
    <row r="40" spans="6:9" ht="84">
      <c r="G40" s="27" t="s">
        <v>38</v>
      </c>
    </row>
    <row r="41" spans="6:9" ht="84">
      <c r="G41" s="27" t="s">
        <v>38</v>
      </c>
    </row>
    <row r="42" spans="6:9" ht="31.5">
      <c r="G42" s="19" t="s">
        <v>29</v>
      </c>
    </row>
    <row r="43" spans="6:9" ht="31.5">
      <c r="G43" s="19" t="s">
        <v>30</v>
      </c>
    </row>
    <row r="44" spans="6:9" ht="31.5">
      <c r="G44" s="19"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Filter</vt:lpstr>
      <vt:lpstr>Pivot</vt:lpstr>
      <vt:lpstr>All (2)</vt:lpstr>
      <vt:lpstr>Sheet1</vt:lpstr>
      <vt:lpstr>HOME</vt:lpstr>
      <vt:lpstr>Dijagnoza</vt:lpstr>
      <vt:lpstr>Predskolska</vt:lpstr>
      <vt:lpstr>Skolska</vt:lpstr>
      <vt:lpstr>Radni vijek</vt:lpstr>
      <vt:lpstr>Treca dob</vt:lpstr>
      <vt:lpstr>Dashboard</vt:lpstr>
      <vt:lpstr>Neinstitucionalizirana prava</vt:lpstr>
      <vt:lpstr>Administrativni postupci</vt:lpstr>
      <vt:lpstr>Diskrecione usluge</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2023-12-13T21:19:25Z</dcterms:modified>
  <cp:category/>
  <cp:contentStatus/>
</cp:coreProperties>
</file>